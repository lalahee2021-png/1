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原始数据" sheetId="1" state="visible" r:id="rId3"/>
    <sheet name="2.12 频数分布表" sheetId="2" state="visible" r:id="rId4"/>
    <sheet name="2.13 直方图与多边形图" sheetId="3" state="visible" r:id="rId5"/>
    <sheet name="2.14 均数标准差变异系数" sheetId="4" state="visible" r:id="rId6"/>
    <sheet name="2.15 众数与中位数" sheetId="5" state="visible" r:id="rId7"/>
    <sheet name="2.16 五数概括与箱线图" sheetId="6" state="visible" r:id="rId8"/>
    <sheet name="2.17 偏度峰度系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<sst xmlns="http://schemas.openxmlformats.org/spreadsheetml/2006/main" count="74" uniqueCount="71">
  <si>
    <r>
      <rPr>
        <b val="true"/>
        <sz val="14"/>
        <color rgb="FF1F4E78"/>
        <rFont val="WenQuanYi Zen Hei"/>
        <family val="2"/>
      </rPr>
      <t xml:space="preserve">习题</t>
    </r>
    <r>
      <rPr>
        <b val="true"/>
        <sz val="14"/>
        <color rgb="FF1F4E78"/>
        <rFont val="Arial"/>
        <family val="0"/>
        <charset val="1"/>
      </rPr>
      <t xml:space="preserve">2.12 </t>
    </r>
    <r>
      <rPr>
        <b val="true"/>
        <sz val="14"/>
        <color rgb="FF1F4E78"/>
        <rFont val="WenQuanYi Zen Hei"/>
        <family val="2"/>
      </rPr>
      <t xml:space="preserve">某地</t>
    </r>
    <r>
      <rPr>
        <b val="true"/>
        <sz val="14"/>
        <color rgb="FF1F4E78"/>
        <rFont val="Arial"/>
        <family val="0"/>
        <charset val="1"/>
      </rPr>
      <t xml:space="preserve">100</t>
    </r>
    <r>
      <rPr>
        <b val="true"/>
        <sz val="14"/>
        <color rgb="FF1F4E78"/>
        <rFont val="WenQuanYi Zen Hei"/>
        <family val="2"/>
      </rPr>
      <t xml:space="preserve">例</t>
    </r>
    <r>
      <rPr>
        <b val="true"/>
        <sz val="14"/>
        <color rgb="FF1F4E78"/>
        <rFont val="Arial"/>
        <family val="0"/>
        <charset val="1"/>
      </rPr>
      <t xml:space="preserve">30~40</t>
    </r>
    <r>
      <rPr>
        <b val="true"/>
        <sz val="14"/>
        <color rgb="FF1F4E78"/>
        <rFont val="WenQuanYi Zen Hei"/>
        <family val="2"/>
      </rPr>
      <t xml:space="preserve">岁健康男子血清总胆固醇含量测定结果（</t>
    </r>
    <r>
      <rPr>
        <b val="true"/>
        <sz val="14"/>
        <color rgb="FF1F4E78"/>
        <rFont val="Arial"/>
        <family val="0"/>
        <charset val="1"/>
      </rPr>
      <t xml:space="preserve">mol/L</t>
    </r>
    <r>
      <rPr>
        <b val="true"/>
        <sz val="14"/>
        <color rgb="FF1F4E78"/>
        <rFont val="WenQuanYi Zen Hei"/>
        <family val="2"/>
      </rPr>
      <t xml:space="preserve">）</t>
    </r>
  </si>
  <si>
    <r>
      <rPr>
        <i val="true"/>
        <sz val="9"/>
        <color rgb="FF666666"/>
        <rFont val="Arial"/>
        <family val="0"/>
        <charset val="1"/>
      </rPr>
      <t xml:space="preserve">n = 100</t>
    </r>
    <r>
      <rPr>
        <i val="true"/>
        <sz val="9"/>
        <color rgb="FF666666"/>
        <rFont val="WenQuanYi Zen Hei"/>
        <family val="2"/>
      </rPr>
      <t xml:space="preserve">，单位：</t>
    </r>
    <r>
      <rPr>
        <i val="true"/>
        <sz val="9"/>
        <color rgb="FF666666"/>
        <rFont val="Arial"/>
        <family val="0"/>
        <charset val="1"/>
      </rPr>
      <t xml:space="preserve">mol/L</t>
    </r>
  </si>
  <si>
    <r>
      <rPr>
        <b val="true"/>
        <sz val="11"/>
        <rFont val="WenQuanYi Zen Hei"/>
        <family val="2"/>
      </rPr>
      <t xml:space="preserve">样本量 </t>
    </r>
    <r>
      <rPr>
        <b val="true"/>
        <sz val="11"/>
        <rFont val="Arial"/>
        <family val="0"/>
        <charset val="1"/>
      </rPr>
      <t xml:space="preserve">n</t>
    </r>
  </si>
  <si>
    <r>
      <rPr>
        <b val="true"/>
        <sz val="11"/>
        <rFont val="WenQuanYi Zen Hei"/>
        <family val="2"/>
      </rPr>
      <t xml:space="preserve">最小值 </t>
    </r>
    <r>
      <rPr>
        <b val="true"/>
        <sz val="11"/>
        <rFont val="Arial"/>
        <family val="0"/>
        <charset val="1"/>
      </rPr>
      <t xml:space="preserve">Min</t>
    </r>
  </si>
  <si>
    <r>
      <rPr>
        <b val="true"/>
        <sz val="11"/>
        <rFont val="WenQuanYi Zen Hei"/>
        <family val="2"/>
      </rPr>
      <t xml:space="preserve">最大值 </t>
    </r>
    <r>
      <rPr>
        <b val="true"/>
        <sz val="11"/>
        <rFont val="Arial"/>
        <family val="0"/>
        <charset val="1"/>
      </rPr>
      <t xml:space="preserve">Max</t>
    </r>
  </si>
  <si>
    <r>
      <rPr>
        <b val="true"/>
        <sz val="11"/>
        <rFont val="WenQuanYi Zen Hei"/>
        <family val="2"/>
      </rPr>
      <t xml:space="preserve">全距 </t>
    </r>
    <r>
      <rPr>
        <b val="true"/>
        <sz val="11"/>
        <rFont val="Arial"/>
        <family val="0"/>
        <charset val="1"/>
      </rPr>
      <t xml:space="preserve">R = Max</t>
    </r>
    <r>
      <rPr>
        <b val="true"/>
        <sz val="11"/>
        <rFont val="WenQuanYi Zen Hei"/>
        <family val="2"/>
      </rPr>
      <t xml:space="preserve">－</t>
    </r>
    <r>
      <rPr>
        <b val="true"/>
        <sz val="11"/>
        <rFont val="Arial"/>
        <family val="0"/>
        <charset val="1"/>
      </rPr>
      <t xml:space="preserve">Min</t>
    </r>
  </si>
  <si>
    <r>
      <rPr>
        <b val="true"/>
        <sz val="14"/>
        <color rgb="FF1F4E78"/>
        <rFont val="WenQuanYi Zen Hei"/>
        <family val="2"/>
      </rPr>
      <t xml:space="preserve">习题</t>
    </r>
    <r>
      <rPr>
        <b val="true"/>
        <sz val="14"/>
        <color rgb="FF1F4E78"/>
        <rFont val="Arial"/>
        <family val="0"/>
        <charset val="1"/>
      </rPr>
      <t xml:space="preserve">2.12  </t>
    </r>
    <r>
      <rPr>
        <b val="true"/>
        <sz val="14"/>
        <color rgb="FF1F4E78"/>
        <rFont val="WenQuanYi Zen Hei"/>
        <family val="2"/>
      </rPr>
      <t xml:space="preserve">频数分布表的编制</t>
    </r>
  </si>
  <si>
    <r>
      <rPr>
        <b val="true"/>
        <sz val="11"/>
        <color rgb="FF1F4E78"/>
        <rFont val="Arial"/>
        <family val="0"/>
        <charset val="1"/>
      </rPr>
      <t xml:space="preserve">1. </t>
    </r>
    <r>
      <rPr>
        <b val="true"/>
        <sz val="11"/>
        <color rgb="FF1F4E78"/>
        <rFont val="WenQuanYi Zen Hei"/>
        <family val="2"/>
      </rPr>
      <t xml:space="preserve">全距 </t>
    </r>
    <r>
      <rPr>
        <b val="true"/>
        <sz val="11"/>
        <color rgb="FF1F4E78"/>
        <rFont val="Arial"/>
        <family val="0"/>
        <charset val="1"/>
      </rPr>
      <t xml:space="preserve">R = </t>
    </r>
    <r>
      <rPr>
        <b val="true"/>
        <sz val="11"/>
        <color rgb="FF1F4E78"/>
        <rFont val="WenQuanYi Zen Hei"/>
        <family val="2"/>
      </rPr>
      <t xml:space="preserve">最大值－最小值</t>
    </r>
  </si>
  <si>
    <r>
      <rPr>
        <b val="true"/>
        <sz val="11"/>
        <color rgb="FF1F4E78"/>
        <rFont val="Arial"/>
        <family val="0"/>
        <charset val="1"/>
      </rPr>
      <t xml:space="preserve">2. </t>
    </r>
    <r>
      <rPr>
        <b val="true"/>
        <sz val="11"/>
        <color rgb="FF1F4E78"/>
        <rFont val="WenQuanYi Zen Hei"/>
        <family val="2"/>
      </rPr>
      <t xml:space="preserve">组数（参考 </t>
    </r>
    <r>
      <rPr>
        <b val="true"/>
        <sz val="11"/>
        <color rgb="FF1F4E78"/>
        <rFont val="Arial"/>
        <family val="0"/>
        <charset val="1"/>
      </rPr>
      <t xml:space="preserve">n=100</t>
    </r>
    <r>
      <rPr>
        <b val="true"/>
        <sz val="11"/>
        <color rgb="FF1F4E78"/>
        <rFont val="WenQuanYi Zen Hei"/>
        <family val="2"/>
      </rPr>
      <t xml:space="preserve">，取</t>
    </r>
    <r>
      <rPr>
        <b val="true"/>
        <sz val="11"/>
        <color rgb="FF1F4E78"/>
        <rFont val="Arial"/>
        <family val="0"/>
        <charset val="1"/>
      </rPr>
      <t xml:space="preserve">10</t>
    </r>
    <r>
      <rPr>
        <b val="true"/>
        <sz val="11"/>
        <color rgb="FF1F4E78"/>
        <rFont val="WenQuanYi Zen Hei"/>
        <family val="2"/>
      </rPr>
      <t xml:space="preserve">组）</t>
    </r>
  </si>
  <si>
    <r>
      <rPr>
        <b val="true"/>
        <sz val="11"/>
        <color rgb="FF1F4E78"/>
        <rFont val="Arial"/>
        <family val="0"/>
        <charset val="1"/>
      </rPr>
      <t xml:space="preserve">3. </t>
    </r>
    <r>
      <rPr>
        <b val="true"/>
        <sz val="11"/>
        <color rgb="FF1F4E78"/>
        <rFont val="WenQuanYi Zen Hei"/>
        <family val="2"/>
      </rPr>
      <t xml:space="preserve">组距 </t>
    </r>
    <r>
      <rPr>
        <b val="true"/>
        <sz val="11"/>
        <color rgb="FF1F4E78"/>
        <rFont val="Arial"/>
        <family val="0"/>
        <charset val="1"/>
      </rPr>
      <t xml:space="preserve">i ≈ R / </t>
    </r>
    <r>
      <rPr>
        <b val="true"/>
        <sz val="11"/>
        <color rgb="FF1F4E78"/>
        <rFont val="WenQuanYi Zen Hei"/>
        <family val="2"/>
      </rPr>
      <t xml:space="preserve">组数，取整为 </t>
    </r>
    <r>
      <rPr>
        <b val="true"/>
        <sz val="11"/>
        <color rgb="FF1F4E78"/>
        <rFont val="Arial"/>
        <family val="0"/>
        <charset val="1"/>
      </rPr>
      <t xml:space="preserve">0.5</t>
    </r>
  </si>
  <si>
    <r>
      <rPr>
        <b val="true"/>
        <sz val="11"/>
        <color rgb="FF1F4E78"/>
        <rFont val="Arial"/>
        <family val="0"/>
        <charset val="1"/>
      </rPr>
      <t xml:space="preserve">4. </t>
    </r>
    <r>
      <rPr>
        <b val="true"/>
        <sz val="11"/>
        <color rgb="FF1F4E78"/>
        <rFont val="WenQuanYi Zen Hei"/>
        <family val="2"/>
      </rPr>
      <t xml:space="preserve">第一组下限（略小于最小值，取</t>
    </r>
    <r>
      <rPr>
        <b val="true"/>
        <sz val="11"/>
        <color rgb="FF1F4E78"/>
        <rFont val="Arial"/>
        <family val="0"/>
        <charset val="1"/>
      </rPr>
      <t xml:space="preserve">2.50</t>
    </r>
    <r>
      <rPr>
        <b val="true"/>
        <sz val="11"/>
        <color rgb="FF1F4E78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</si>
  <si>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组段（</t>
    </r>
    <r>
      <rPr>
        <b val="true"/>
        <sz val="11"/>
        <color rgb="FFFFFFFF"/>
        <rFont val="Arial"/>
        <family val="0"/>
        <charset val="1"/>
      </rPr>
      <t xml:space="preserve">mol/L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</si>
  <si>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组中值</t>
  </si>
  <si>
    <r>
      <rPr>
        <b val="true"/>
        <sz val="11"/>
        <color rgb="FFFFFFFF"/>
        <rFont val="WenQuanYi Zen Hei"/>
        <family val="2"/>
      </rPr>
      <t xml:space="preserve">频数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人数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</si>
  <si>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频率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</si>
  <si>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累计频数</t>
  </si>
  <si>
    <r>
      <rPr>
        <b val="true"/>
        <sz val="11"/>
        <color rgb="FFFFFFFF"/>
        <rFont val="WenQuanYi Zen Hei"/>
        <family val="2"/>
      </rPr>
      <t xml:space="preserve">累计频率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</si>
  <si>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合计</t>
  </si>
  <si>
    <r>
      <rPr>
        <i val="true"/>
        <sz val="9"/>
        <color rgb="FF666666"/>
        <rFont val="WenQuanYi Zen Hei"/>
        <family val="2"/>
      </rPr>
      <t xml:space="preserve">说明：频数表按 </t>
    </r>
    <r>
      <rPr>
        <i val="true"/>
        <sz val="9"/>
        <color rgb="FF666666"/>
        <rFont val="Arial"/>
        <family val="0"/>
        <charset val="1"/>
      </rPr>
      <t xml:space="preserve">[</t>
    </r>
    <r>
      <rPr>
        <i val="true"/>
        <sz val="9"/>
        <color rgb="FF666666"/>
        <rFont val="WenQuanYi Zen Hei"/>
        <family val="2"/>
      </rPr>
      <t xml:space="preserve">下限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上限</t>
    </r>
    <r>
      <rPr>
        <i val="true"/>
        <sz val="9"/>
        <color rgb="FF666666"/>
        <rFont val="Arial"/>
        <family val="0"/>
        <charset val="1"/>
      </rPr>
      <t xml:space="preserve">) </t>
    </r>
    <r>
      <rPr>
        <i val="true"/>
        <sz val="9"/>
        <color rgb="FF666666"/>
        <rFont val="WenQuanYi Zen Hei"/>
        <family val="2"/>
      </rPr>
      <t xml:space="preserve">左闭右开原则统计，最末组含最大值。</t>
    </r>
    <r>
      <rPr>
        <i val="true"/>
        <sz val="9"/>
        <color rgb="FF666666"/>
        <rFont val="Arial"/>
        <family val="0"/>
        <charset val="1"/>
      </rPr>
      <t xml:space="preserve">H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I</t>
    </r>
    <r>
      <rPr>
        <i val="true"/>
        <sz val="9"/>
        <color rgb="FF666666"/>
        <rFont val="WenQuanYi Zen Hei"/>
        <family val="2"/>
      </rPr>
      <t xml:space="preserve">列为组下限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上限数值，供后续计算引用。</t>
    </r>
  </si>
  <si>
    <r>
      <rPr>
        <b val="true"/>
        <sz val="14"/>
        <color rgb="FF1F4E78"/>
        <rFont val="WenQuanYi Zen Hei"/>
        <family val="2"/>
      </rPr>
      <t xml:space="preserve">习题</t>
    </r>
    <r>
      <rPr>
        <b val="true"/>
        <sz val="14"/>
        <color rgb="FF1F4E78"/>
        <rFont val="Arial"/>
        <family val="0"/>
        <charset val="1"/>
      </rPr>
      <t xml:space="preserve">2.13  </t>
    </r>
    <r>
      <rPr>
        <b val="true"/>
        <sz val="14"/>
        <color rgb="FF1F4E78"/>
        <rFont val="WenQuanYi Zen Hei"/>
        <family val="2"/>
      </rPr>
      <t xml:space="preserve">直方图与频数多边形图</t>
    </r>
  </si>
  <si>
    <t xml:space="preserve">频数</t>
  </si>
  <si>
    <r>
      <rPr>
        <sz val="11"/>
        <rFont val="WenQuanYi Zen Hei"/>
        <family val="2"/>
      </rPr>
      <t xml:space="preserve">分布特征说明：该资料频数分布呈单峰型，主峰位于</t>
    </r>
    <r>
      <rPr>
        <sz val="11"/>
        <rFont val="Arial"/>
        <family val="0"/>
        <charset val="1"/>
      </rPr>
      <t xml:space="preserve">4.50~5.00 mol/L</t>
    </r>
    <r>
      <rPr>
        <sz val="11"/>
        <rFont val="WenQuanYi Zen Hei"/>
        <family val="2"/>
      </rPr>
      <t xml:space="preserve">一组，左右两侧频数大致对称下降，但右侧尾部（高浓度端，向</t>
    </r>
    <r>
      <rPr>
        <sz val="11"/>
        <rFont val="Arial"/>
        <family val="0"/>
        <charset val="1"/>
      </rPr>
      <t xml:space="preserve">6.5~7.5</t>
    </r>
    <r>
      <rPr>
        <sz val="11"/>
        <rFont val="WenQuanYi Zen Hei"/>
        <family val="2"/>
      </rPr>
      <t xml:space="preserve">延伸）略长于左侧，提示该分布接近正态分布，但略呈正偏态（右偏），与偏度系数计算结果一致（见习题</t>
    </r>
    <r>
      <rPr>
        <sz val="11"/>
        <rFont val="Arial"/>
        <family val="0"/>
        <charset val="1"/>
      </rPr>
      <t xml:space="preserve">2.17</t>
    </r>
    <r>
      <rPr>
        <sz val="11"/>
        <rFont val="WenQuanYi Zen Hei"/>
        <family val="2"/>
      </rPr>
      <t xml:space="preserve">）。</t>
    </r>
  </si>
  <si>
    <r>
      <rPr>
        <b val="true"/>
        <sz val="14"/>
        <color rgb="FF1F4E78"/>
        <rFont val="WenQuanYi Zen Hei"/>
        <family val="2"/>
      </rPr>
      <t xml:space="preserve">习题</t>
    </r>
    <r>
      <rPr>
        <b val="true"/>
        <sz val="14"/>
        <color rgb="FF1F4E78"/>
        <rFont val="Arial"/>
        <family val="0"/>
        <charset val="1"/>
      </rPr>
      <t xml:space="preserve">2.14  </t>
    </r>
    <r>
      <rPr>
        <b val="true"/>
        <sz val="14"/>
        <color rgb="FF1F4E78"/>
        <rFont val="WenQuanYi Zen Hei"/>
        <family val="2"/>
      </rPr>
      <t xml:space="preserve">均数、标准差与变异系数</t>
    </r>
  </si>
  <si>
    <r>
      <rPr>
        <sz val="11"/>
        <rFont val="WenQuanYi Zen Hei"/>
        <family val="2"/>
      </rPr>
      <t xml:space="preserve">样本量 </t>
    </r>
    <r>
      <rPr>
        <sz val="11"/>
        <rFont val="Arial"/>
        <family val="0"/>
        <charset val="1"/>
      </rPr>
      <t xml:space="preserve">n</t>
    </r>
  </si>
  <si>
    <r>
      <rPr>
        <sz val="11"/>
        <rFont val="WenQuanYi Zen Hei"/>
        <family val="2"/>
      </rPr>
      <t xml:space="preserve">均数（算术平均数） </t>
    </r>
    <r>
      <rPr>
        <sz val="11"/>
        <rFont val="Arial"/>
        <family val="0"/>
        <charset val="1"/>
      </rPr>
      <t xml:space="preserve">x̄ = ΣX/n</t>
    </r>
  </si>
  <si>
    <r>
      <rPr>
        <sz val="11"/>
        <rFont val="WenQuanYi Zen Hei"/>
        <family val="2"/>
      </rPr>
      <t xml:space="preserve">标准差 </t>
    </r>
    <r>
      <rPr>
        <sz val="11"/>
        <rFont val="Arial"/>
        <family val="0"/>
        <charset val="1"/>
      </rPr>
      <t xml:space="preserve">S = √[Σ(X</t>
    </r>
    <r>
      <rPr>
        <sz val="11"/>
        <rFont val="WenQuanYi Zen Hei"/>
        <family val="2"/>
      </rPr>
      <t xml:space="preserve">－</t>
    </r>
    <r>
      <rPr>
        <sz val="11"/>
        <rFont val="Arial"/>
        <family val="0"/>
        <charset val="1"/>
      </rPr>
      <t xml:space="preserve">x̄)²/(n</t>
    </r>
    <r>
      <rPr>
        <sz val="11"/>
        <rFont val="WenQuanYi Zen Hei"/>
        <family val="2"/>
      </rPr>
      <t xml:space="preserve">－</t>
    </r>
    <r>
      <rPr>
        <sz val="11"/>
        <rFont val="Arial"/>
        <family val="0"/>
        <charset val="1"/>
      </rPr>
      <t xml:space="preserve">1)]</t>
    </r>
  </si>
  <si>
    <r>
      <rPr>
        <sz val="11"/>
        <rFont val="WenQuanYi Zen Hei"/>
        <family val="2"/>
      </rPr>
      <t xml:space="preserve">方差 </t>
    </r>
    <r>
      <rPr>
        <sz val="11"/>
        <rFont val="Arial"/>
        <family val="0"/>
        <charset val="1"/>
      </rPr>
      <t xml:space="preserve">S²</t>
    </r>
  </si>
  <si>
    <r>
      <rPr>
        <sz val="11"/>
        <rFont val="WenQuanYi Zen Hei"/>
        <family val="2"/>
      </rPr>
      <t xml:space="preserve">变异系数 </t>
    </r>
    <r>
      <rPr>
        <sz val="11"/>
        <rFont val="Arial"/>
        <family val="0"/>
        <charset val="1"/>
      </rPr>
      <t xml:space="preserve">CV = S/x̄ × 100%</t>
    </r>
  </si>
  <si>
    <r>
      <rPr>
        <sz val="11"/>
        <rFont val="WenQuanYi Zen Hei"/>
        <family val="2"/>
      </rPr>
      <t xml:space="preserve">说明：</t>
    </r>
    <r>
      <rPr>
        <sz val="11"/>
        <rFont val="Arial"/>
        <family val="0"/>
        <charset val="1"/>
      </rPr>
      <t xml:space="preserve">CV</t>
    </r>
    <r>
      <rPr>
        <sz val="11"/>
        <rFont val="WenQuanYi Zen Hei"/>
        <family val="2"/>
      </rPr>
      <t xml:space="preserve">用于比较度量单位不同或均数相差悬殊的多组资料的变异程度；本例中</t>
    </r>
    <r>
      <rPr>
        <sz val="11"/>
        <rFont val="Arial"/>
        <family val="0"/>
        <charset val="1"/>
      </rPr>
      <t xml:space="preserve">CV</t>
    </r>
    <r>
      <rPr>
        <sz val="11"/>
        <rFont val="WenQuanYi Zen Hei"/>
        <family val="2"/>
      </rPr>
      <t xml:space="preserve">较小，说明该组健康男子血清总胆固醇含量的变异程度不大。</t>
    </r>
  </si>
  <si>
    <r>
      <rPr>
        <b val="true"/>
        <sz val="14"/>
        <color rgb="FF1F4E78"/>
        <rFont val="WenQuanYi Zen Hei"/>
        <family val="2"/>
      </rPr>
      <t xml:space="preserve">习题</t>
    </r>
    <r>
      <rPr>
        <b val="true"/>
        <sz val="14"/>
        <color rgb="FF1F4E78"/>
        <rFont val="Arial"/>
        <family val="0"/>
        <charset val="1"/>
      </rPr>
      <t xml:space="preserve">2.15  </t>
    </r>
    <r>
      <rPr>
        <b val="true"/>
        <sz val="14"/>
        <color rgb="FF1F4E78"/>
        <rFont val="WenQuanYi Zen Hei"/>
        <family val="2"/>
      </rPr>
      <t xml:space="preserve">众数、中位数与均数的比较</t>
    </r>
  </si>
  <si>
    <t xml:space="preserve">一、众数（按频数分布表，组距法）</t>
  </si>
  <si>
    <t xml:space="preserve">众数所在组（频数最大的组）</t>
  </si>
  <si>
    <r>
      <rPr>
        <sz val="11"/>
        <rFont val="WenQuanYi Zen Hei"/>
        <family val="2"/>
      </rPr>
      <t xml:space="preserve">众数组下限 </t>
    </r>
    <r>
      <rPr>
        <sz val="11"/>
        <rFont val="Arial"/>
        <family val="0"/>
        <charset val="1"/>
      </rPr>
      <t xml:space="preserve">L</t>
    </r>
  </si>
  <si>
    <r>
      <rPr>
        <sz val="11"/>
        <rFont val="WenQuanYi Zen Hei"/>
        <family val="2"/>
      </rPr>
      <t xml:space="preserve">组距 </t>
    </r>
    <r>
      <rPr>
        <sz val="11"/>
        <rFont val="Arial"/>
        <family val="0"/>
        <charset val="1"/>
      </rPr>
      <t xml:space="preserve">i</t>
    </r>
  </si>
  <si>
    <r>
      <rPr>
        <sz val="11"/>
        <rFont val="Arial"/>
        <family val="0"/>
        <charset val="1"/>
      </rPr>
      <t xml:space="preserve">Δ1 = </t>
    </r>
    <r>
      <rPr>
        <sz val="11"/>
        <rFont val="WenQuanYi Zen Hei"/>
        <family val="2"/>
      </rPr>
      <t xml:space="preserve">众数组频数－前一组频数</t>
    </r>
  </si>
  <si>
    <r>
      <rPr>
        <sz val="11"/>
        <rFont val="Arial"/>
        <family val="0"/>
        <charset val="1"/>
      </rPr>
      <t xml:space="preserve">Δ2 = </t>
    </r>
    <r>
      <rPr>
        <sz val="11"/>
        <rFont val="WenQuanYi Zen Hei"/>
        <family val="2"/>
      </rPr>
      <t xml:space="preserve">众数组频数－后一组频数</t>
    </r>
  </si>
  <si>
    <r>
      <rPr>
        <sz val="11"/>
        <rFont val="WenQuanYi Zen Hei"/>
        <family val="2"/>
      </rPr>
      <t xml:space="preserve">众数 </t>
    </r>
    <r>
      <rPr>
        <sz val="11"/>
        <rFont val="Arial"/>
        <family val="0"/>
        <charset val="1"/>
      </rPr>
      <t xml:space="preserve">M0 = L + i × Δ1/(Δ1+Δ2)</t>
    </r>
  </si>
  <si>
    <t xml:space="preserve">二、中位数</t>
  </si>
  <si>
    <r>
      <rPr>
        <sz val="11"/>
        <rFont val="WenQuanYi Zen Hei"/>
        <family val="2"/>
      </rPr>
      <t xml:space="preserve">直接法（据原始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个数据排序）</t>
    </r>
    <r>
      <rPr>
        <sz val="11"/>
        <rFont val="Arial"/>
        <family val="0"/>
        <charset val="1"/>
      </rPr>
      <t xml:space="preserve">Md = MEDIAN(X)</t>
    </r>
  </si>
  <si>
    <r>
      <rPr>
        <sz val="11"/>
        <rFont val="WenQuanYi Zen Hei"/>
        <family val="2"/>
      </rPr>
      <t xml:space="preserve">累计频数半数 </t>
    </r>
    <r>
      <rPr>
        <sz val="11"/>
        <rFont val="Arial"/>
        <family val="0"/>
        <charset val="1"/>
      </rPr>
      <t xml:space="preserve">n/2</t>
    </r>
  </si>
  <si>
    <r>
      <rPr>
        <sz val="11"/>
        <rFont val="WenQuanYi Zen Hei"/>
        <family val="2"/>
      </rPr>
      <t xml:space="preserve">中位数所在组行号（在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组中的序号）</t>
    </r>
  </si>
  <si>
    <r>
      <rPr>
        <sz val="11"/>
        <rFont val="WenQuanYi Zen Hei"/>
        <family val="2"/>
      </rPr>
      <t xml:space="preserve">中位数所在组下限 </t>
    </r>
    <r>
      <rPr>
        <sz val="11"/>
        <rFont val="Arial"/>
        <family val="0"/>
        <charset val="1"/>
      </rPr>
      <t xml:space="preserve">L / </t>
    </r>
    <r>
      <rPr>
        <sz val="11"/>
        <rFont val="WenQuanYi Zen Hei"/>
        <family val="2"/>
      </rPr>
      <t xml:space="preserve">该组以下累计频数 </t>
    </r>
    <r>
      <rPr>
        <sz val="11"/>
        <rFont val="Arial"/>
        <family val="0"/>
        <charset val="1"/>
      </rPr>
      <t xml:space="preserve">cf / </t>
    </r>
    <r>
      <rPr>
        <sz val="11"/>
        <rFont val="WenQuanYi Zen Hei"/>
        <family val="2"/>
      </rPr>
      <t xml:space="preserve">该组频数 </t>
    </r>
    <r>
      <rPr>
        <sz val="11"/>
        <rFont val="Arial"/>
        <family val="0"/>
        <charset val="1"/>
      </rPr>
      <t xml:space="preserve">f</t>
    </r>
  </si>
  <si>
    <r>
      <rPr>
        <sz val="11"/>
        <rFont val="WenQuanYi Zen Hei"/>
        <family val="2"/>
      </rPr>
      <t xml:space="preserve">组距法中位数 </t>
    </r>
    <r>
      <rPr>
        <sz val="11"/>
        <rFont val="Arial"/>
        <family val="0"/>
        <charset val="1"/>
      </rPr>
      <t xml:space="preserve">Md = L + i/f × (n/2</t>
    </r>
    <r>
      <rPr>
        <sz val="11"/>
        <rFont val="WenQuanYi Zen Hei"/>
        <family val="2"/>
      </rPr>
      <t xml:space="preserve">－</t>
    </r>
    <r>
      <rPr>
        <sz val="11"/>
        <rFont val="Arial"/>
        <family val="0"/>
        <charset val="1"/>
      </rPr>
      <t xml:space="preserve">cf)</t>
    </r>
  </si>
  <si>
    <t xml:space="preserve">三、均数、中位数、众数比较</t>
  </si>
  <si>
    <r>
      <rPr>
        <sz val="11"/>
        <rFont val="WenQuanYi Zen Hei"/>
        <family val="2"/>
      </rPr>
      <t xml:space="preserve">均数 </t>
    </r>
    <r>
      <rPr>
        <sz val="11"/>
        <rFont val="Arial"/>
        <family val="0"/>
        <charset val="1"/>
      </rPr>
      <t xml:space="preserve">x̄</t>
    </r>
  </si>
  <si>
    <r>
      <rPr>
        <sz val="11"/>
        <rFont val="WenQuanYi Zen Hei"/>
        <family val="2"/>
      </rPr>
      <t xml:space="preserve">中位数 </t>
    </r>
    <r>
      <rPr>
        <sz val="11"/>
        <rFont val="Arial"/>
        <family val="0"/>
        <charset val="1"/>
      </rPr>
      <t xml:space="preserve">Md</t>
    </r>
    <r>
      <rPr>
        <sz val="11"/>
        <rFont val="WenQuanYi Zen Hei"/>
        <family val="2"/>
      </rPr>
      <t xml:space="preserve">（直接法）</t>
    </r>
  </si>
  <si>
    <r>
      <rPr>
        <sz val="11"/>
        <rFont val="WenQuanYi Zen Hei"/>
        <family val="2"/>
      </rPr>
      <t xml:space="preserve">众数 </t>
    </r>
    <r>
      <rPr>
        <sz val="11"/>
        <rFont val="Arial"/>
        <family val="0"/>
        <charset val="1"/>
      </rPr>
      <t xml:space="preserve">M0</t>
    </r>
  </si>
  <si>
    <t xml:space="preserve">说明：均数＞中位数＞众数，三者略有差异且均数最大，提示该资料分布不是严格对称，而呈轻度正偏态（右偏）。</t>
  </si>
  <si>
    <r>
      <rPr>
        <b val="true"/>
        <sz val="14"/>
        <color rgb="FF1F4E78"/>
        <rFont val="WenQuanYi Zen Hei"/>
        <family val="2"/>
      </rPr>
      <t xml:space="preserve">习题</t>
    </r>
    <r>
      <rPr>
        <b val="true"/>
        <sz val="14"/>
        <color rgb="FF1F4E78"/>
        <rFont val="Arial"/>
        <family val="0"/>
        <charset val="1"/>
      </rPr>
      <t xml:space="preserve">2.16  </t>
    </r>
    <r>
      <rPr>
        <b val="true"/>
        <sz val="14"/>
        <color rgb="FF1F4E78"/>
        <rFont val="WenQuanYi Zen Hei"/>
        <family val="2"/>
      </rPr>
      <t xml:space="preserve">五数概括与箱线图</t>
    </r>
  </si>
  <si>
    <t xml:space="preserve">统计量</t>
  </si>
  <si>
    <r>
      <rPr>
        <b val="true"/>
        <sz val="11"/>
        <color rgb="FFFFFFFF"/>
        <rFont val="WenQuanYi Zen Hei"/>
        <family val="2"/>
      </rPr>
      <t xml:space="preserve">数值（</t>
    </r>
    <r>
      <rPr>
        <b val="true"/>
        <sz val="11"/>
        <color rgb="FFFFFFFF"/>
        <rFont val="Arial"/>
        <family val="0"/>
        <charset val="1"/>
      </rPr>
      <t xml:space="preserve">mol/L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</si>
  <si>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最小值 </t>
    </r>
    <r>
      <rPr>
        <sz val="11"/>
        <rFont val="Arial"/>
        <family val="0"/>
        <charset val="1"/>
      </rPr>
      <t xml:space="preserve">Min</t>
    </r>
  </si>
  <si>
    <r>
      <rPr>
        <sz val="11"/>
        <rFont val="WenQuanYi Zen Hei"/>
        <family val="2"/>
      </rPr>
      <t xml:space="preserve">第一四分位数 </t>
    </r>
    <r>
      <rPr>
        <sz val="11"/>
        <rFont val="Arial"/>
        <family val="0"/>
        <charset val="1"/>
      </rPr>
      <t xml:space="preserve">Q1</t>
    </r>
  </si>
  <si>
    <r>
      <rPr>
        <sz val="11"/>
        <rFont val="WenQuanYi Zen Hei"/>
        <family val="2"/>
      </rPr>
      <t xml:space="preserve">中位数 </t>
    </r>
    <r>
      <rPr>
        <sz val="11"/>
        <rFont val="Arial"/>
        <family val="0"/>
        <charset val="1"/>
      </rPr>
      <t xml:space="preserve">Median</t>
    </r>
  </si>
  <si>
    <r>
      <rPr>
        <sz val="11"/>
        <rFont val="WenQuanYi Zen Hei"/>
        <family val="2"/>
      </rPr>
      <t xml:space="preserve">第三四分位数 </t>
    </r>
    <r>
      <rPr>
        <sz val="11"/>
        <rFont val="Arial"/>
        <family val="0"/>
        <charset val="1"/>
      </rPr>
      <t xml:space="preserve">Q3</t>
    </r>
  </si>
  <si>
    <r>
      <rPr>
        <sz val="11"/>
        <rFont val="WenQuanYi Zen Hei"/>
        <family val="2"/>
      </rPr>
      <t xml:space="preserve">最大值 </t>
    </r>
    <r>
      <rPr>
        <sz val="11"/>
        <rFont val="Arial"/>
        <family val="0"/>
        <charset val="1"/>
      </rPr>
      <t xml:space="preserve">Max</t>
    </r>
  </si>
  <si>
    <r>
      <rPr>
        <sz val="11"/>
        <rFont val="WenQuanYi Zen Hei"/>
        <family val="2"/>
      </rPr>
      <t xml:space="preserve">四分位数间距 </t>
    </r>
    <r>
      <rPr>
        <sz val="11"/>
        <rFont val="Arial"/>
        <family val="0"/>
        <charset val="1"/>
      </rPr>
      <t xml:space="preserve">IQR = Q3</t>
    </r>
    <r>
      <rPr>
        <sz val="11"/>
        <rFont val="WenQuanYi Zen Hei"/>
        <family val="2"/>
      </rPr>
      <t xml:space="preserve">－</t>
    </r>
    <r>
      <rPr>
        <sz val="11"/>
        <rFont val="Arial"/>
        <family val="0"/>
        <charset val="1"/>
      </rPr>
      <t xml:space="preserve">Q1</t>
    </r>
  </si>
  <si>
    <t xml:space="preserve">箱线图作图辅助数据</t>
  </si>
  <si>
    <t xml:space="preserve">类别</t>
  </si>
  <si>
    <r>
      <rPr>
        <b val="true"/>
        <sz val="11"/>
        <color rgb="FFFFFFFF"/>
        <rFont val="Arial"/>
        <family val="0"/>
        <charset val="1"/>
      </rPr>
      <t xml:space="preserve">Q1</t>
    </r>
    <r>
      <rPr>
        <b val="true"/>
        <sz val="11"/>
        <color rgb="FFFFFFFF"/>
        <rFont val="WenQuanYi Zen Hei"/>
        <family val="2"/>
      </rPr>
      <t xml:space="preserve">为基底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不可见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</si>
  <si>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Q1</t>
    </r>
    <r>
      <rPr>
        <b val="true"/>
        <sz val="11"/>
        <color rgb="FFFFFFFF"/>
        <rFont val="WenQuanYi Zen Hei"/>
        <family val="2"/>
      </rPr>
      <t xml:space="preserve">至中位数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箱体下半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</si>
  <si>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中位数至</t>
    </r>
    <r>
      <rPr>
        <b val="true"/>
        <sz val="11"/>
        <color rgb="FFFFFFFF"/>
        <rFont val="Arial"/>
        <family val="0"/>
        <charset val="1"/>
      </rPr>
      <t xml:space="preserve">Q3(</t>
    </r>
    <r>
      <rPr>
        <b val="true"/>
        <sz val="11"/>
        <color rgb="FFFFFFFF"/>
        <rFont val="WenQuanYi Zen Hei"/>
        <family val="2"/>
      </rPr>
      <t xml:space="preserve">箱体上半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</si>
  <si>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总胆固醇</t>
  </si>
  <si>
    <r>
      <rPr>
        <sz val="11"/>
        <rFont val="WenQuanYi Zen Hei"/>
        <family val="2"/>
      </rPr>
      <t xml:space="preserve">下须长度 </t>
    </r>
    <r>
      <rPr>
        <sz val="11"/>
        <rFont val="Arial"/>
        <family val="0"/>
        <charset val="1"/>
      </rPr>
      <t xml:space="preserve">= Q1</t>
    </r>
    <r>
      <rPr>
        <sz val="11"/>
        <rFont val="WenQuanYi Zen Hei"/>
        <family val="2"/>
      </rPr>
      <t xml:space="preserve">－</t>
    </r>
    <r>
      <rPr>
        <sz val="11"/>
        <rFont val="Arial"/>
        <family val="0"/>
        <charset val="1"/>
      </rPr>
      <t xml:space="preserve">Min</t>
    </r>
  </si>
  <si>
    <r>
      <rPr>
        <sz val="11"/>
        <rFont val="WenQuanYi Zen Hei"/>
        <family val="2"/>
      </rPr>
      <t xml:space="preserve">上须长度 </t>
    </r>
    <r>
      <rPr>
        <sz val="11"/>
        <rFont val="Arial"/>
        <family val="0"/>
        <charset val="1"/>
      </rPr>
      <t xml:space="preserve">= Max</t>
    </r>
    <r>
      <rPr>
        <sz val="11"/>
        <rFont val="WenQuanYi Zen Hei"/>
        <family val="2"/>
      </rPr>
      <t xml:space="preserve">－</t>
    </r>
    <r>
      <rPr>
        <sz val="11"/>
        <rFont val="Arial"/>
        <family val="0"/>
        <charset val="1"/>
      </rPr>
      <t xml:space="preserve">Q3</t>
    </r>
  </si>
  <si>
    <r>
      <rPr>
        <sz val="11"/>
        <rFont val="WenQuanYi Zen Hei"/>
        <family val="2"/>
      </rPr>
      <t xml:space="preserve">说明：箱体上、下边为</t>
    </r>
    <r>
      <rPr>
        <sz val="11"/>
        <rFont val="Arial"/>
        <family val="0"/>
        <charset val="1"/>
      </rPr>
      <t xml:space="preserve">Q3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Q1</t>
    </r>
    <r>
      <rPr>
        <sz val="11"/>
        <rFont val="WenQuanYi Zen Hei"/>
        <family val="2"/>
      </rPr>
      <t xml:space="preserve">，箱内横线为中位数；上、下须线（误差线）分别延伸至</t>
    </r>
    <r>
      <rPr>
        <sz val="11"/>
        <rFont val="Arial"/>
        <family val="0"/>
        <charset val="1"/>
      </rPr>
      <t xml:space="preserve">Max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Min</t>
    </r>
    <r>
      <rPr>
        <sz val="11"/>
        <rFont val="WenQuanYi Zen Hei"/>
        <family val="2"/>
      </rPr>
      <t xml:space="preserve">。该作图方法为</t>
    </r>
    <r>
      <rPr>
        <sz val="11"/>
        <rFont val="Arial"/>
        <family val="0"/>
        <charset val="1"/>
      </rPr>
      <t xml:space="preserve">Excel</t>
    </r>
    <r>
      <rPr>
        <sz val="11"/>
        <rFont val="WenQuanYi Zen Hei"/>
        <family val="2"/>
      </rPr>
      <t xml:space="preserve">中常用的“堆积柱形图</t>
    </r>
    <r>
      <rPr>
        <sz val="11"/>
        <rFont val="Arial"/>
        <family val="0"/>
        <charset val="1"/>
      </rPr>
      <t xml:space="preserve">+</t>
    </r>
    <r>
      <rPr>
        <sz val="11"/>
        <rFont val="WenQuanYi Zen Hei"/>
        <family val="2"/>
      </rPr>
      <t xml:space="preserve">误差线”箱线图近似画法。</t>
    </r>
  </si>
  <si>
    <r>
      <rPr>
        <b val="true"/>
        <sz val="14"/>
        <color rgb="FF1F4E78"/>
        <rFont val="WenQuanYi Zen Hei"/>
        <family val="2"/>
      </rPr>
      <t xml:space="preserve">习题</t>
    </r>
    <r>
      <rPr>
        <b val="true"/>
        <sz val="14"/>
        <color rgb="FF1F4E78"/>
        <rFont val="Arial"/>
        <family val="0"/>
        <charset val="1"/>
      </rPr>
      <t xml:space="preserve">2.17  </t>
    </r>
    <r>
      <rPr>
        <b val="true"/>
        <sz val="14"/>
        <color rgb="FF1F4E78"/>
        <rFont val="WenQuanYi Zen Hei"/>
        <family val="2"/>
      </rPr>
      <t xml:space="preserve">偏度系数与峰度系数</t>
    </r>
  </si>
  <si>
    <r>
      <rPr>
        <sz val="11"/>
        <rFont val="WenQuanYi Zen Hei"/>
        <family val="2"/>
      </rPr>
      <t xml:space="preserve">标准差 </t>
    </r>
    <r>
      <rPr>
        <sz val="11"/>
        <rFont val="Arial"/>
        <family val="0"/>
        <charset val="1"/>
      </rPr>
      <t xml:space="preserve">S</t>
    </r>
  </si>
  <si>
    <r>
      <rPr>
        <sz val="11"/>
        <rFont val="WenQuanYi Zen Hei"/>
        <family val="2"/>
      </rPr>
      <t xml:space="preserve">偏度系数 </t>
    </r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（矩法，</t>
    </r>
    <r>
      <rPr>
        <sz val="11"/>
        <rFont val="Arial"/>
        <family val="0"/>
        <charset val="1"/>
      </rPr>
      <t xml:space="preserve">=SKEW</t>
    </r>
    <r>
      <rPr>
        <sz val="11"/>
        <rFont val="WenQuanYi Zen Hei"/>
        <family val="2"/>
      </rPr>
      <t xml:space="preserve">函数）</t>
    </r>
  </si>
  <si>
    <r>
      <rPr>
        <sz val="11"/>
        <rFont val="WenQuanYi Zen Hei"/>
        <family val="2"/>
      </rPr>
      <t xml:space="preserve">峰度系数 </t>
    </r>
    <r>
      <rPr>
        <sz val="11"/>
        <rFont val="Arial"/>
        <family val="0"/>
        <charset val="1"/>
      </rPr>
      <t xml:space="preserve">CT</t>
    </r>
    <r>
      <rPr>
        <sz val="11"/>
        <rFont val="WenQuanYi Zen Hei"/>
        <family val="2"/>
      </rPr>
      <t xml:space="preserve">（矩法，</t>
    </r>
    <r>
      <rPr>
        <sz val="11"/>
        <rFont val="Arial"/>
        <family val="0"/>
        <charset val="1"/>
      </rPr>
      <t xml:space="preserve">=KURT</t>
    </r>
    <r>
      <rPr>
        <sz val="11"/>
        <rFont val="WenQuanYi Zen Hei"/>
        <family val="2"/>
      </rPr>
      <t xml:space="preserve">函数，超额峰度）</t>
    </r>
  </si>
  <si>
    <r>
      <rPr>
        <sz val="11"/>
        <rFont val="WenQuanYi Zen Hei"/>
        <family val="2"/>
      </rPr>
      <t xml:space="preserve">判断标准：</t>
    </r>
    <r>
      <rPr>
        <sz val="11"/>
        <rFont val="Arial"/>
        <family val="0"/>
        <charset val="1"/>
      </rPr>
      <t xml:space="preserve">SK=0</t>
    </r>
    <r>
      <rPr>
        <sz val="11"/>
        <rFont val="WenQuanYi Zen Hei"/>
        <family val="2"/>
      </rPr>
      <t xml:space="preserve">为对称分布，</t>
    </r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＞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为正偏态（右偏），</t>
    </r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＜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为负偏态（左偏）；</t>
    </r>
    <r>
      <rPr>
        <sz val="11"/>
        <rFont val="Arial"/>
        <family val="0"/>
        <charset val="1"/>
      </rPr>
      <t xml:space="preserve">CT=0</t>
    </r>
    <r>
      <rPr>
        <sz val="11"/>
        <rFont val="WenQuanYi Zen Hei"/>
        <family val="2"/>
      </rPr>
      <t xml:space="preserve">峰度与正态分布相当，</t>
    </r>
    <r>
      <rPr>
        <sz val="11"/>
        <rFont val="Arial"/>
        <family val="0"/>
        <charset val="1"/>
      </rPr>
      <t xml:space="preserve">CT</t>
    </r>
    <r>
      <rPr>
        <sz val="11"/>
        <rFont val="WenQuanYi Zen Hei"/>
        <family val="2"/>
      </rPr>
      <t xml:space="preserve">＞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为尖峭峰态，</t>
    </r>
    <r>
      <rPr>
        <sz val="11"/>
        <rFont val="Arial"/>
        <family val="0"/>
        <charset val="1"/>
      </rPr>
      <t xml:space="preserve">CT</t>
    </r>
    <r>
      <rPr>
        <sz val="11"/>
        <rFont val="WenQuanYi Zen Hei"/>
        <family val="2"/>
      </rPr>
      <t xml:space="preserve">＜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为扁平峰态。本例</t>
    </r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略大于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，提示分布呈轻度右偏，与习题</t>
    </r>
    <r>
      <rPr>
        <sz val="11"/>
        <rFont val="Arial"/>
        <family val="0"/>
        <charset val="1"/>
      </rPr>
      <t xml:space="preserve">2.13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2.15</t>
    </r>
    <r>
      <rPr>
        <sz val="11"/>
        <rFont val="WenQuanYi Zen Hei"/>
        <family val="2"/>
      </rPr>
      <t xml:space="preserve">的结论一致。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</si>
</sst>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General"/>
    <numFmt numFmtId="167" formatCode="0.0"/>
    <numFmt numFmtId="168" formatCode="0"/>
    <numFmt numFmtId="169" formatCode="0.0000"/>
    <numFmt numFmtId="170" formatCode="0.00%"/>
    <numFmt numFmtId="171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WenQuanYi Zen Hei"/>
      <family val="2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666666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1F4E78"/>
      <name val="WenQuanYi Zen Hei"/>
      <family val="2"/>
    </font>
    <font>
      <b val="true"/>
      <sz val="11"/>
      <color rgb="FFFFFFFF"/>
      <name val="WenQuanYi Zen Hei"/>
      <family val="2"/>
    </font>
    <font>
      <sz val="11"/>
      <name val="WenQuanYi Zen He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血清总胆固醇含量频数分布直方图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"频数（直方图）"</c:f>
              <c:strCache>
                <c:ptCount val="1"/>
                <c:pt idx="0">
                  <c:v>频数（直方图）</c:v>
                </c:pt>
              </c:strCache>
            </c:strRef>
          </c:tx>
          <c:spPr>
            <a:solidFill>
              <a:srgbClr val="4472c4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'2.13 直方图与多边形图'!$B$4:$B$13</c:f>
              <c:strCache>
                <c:ptCount val="10"/>
                <c:pt idx="0">
                  <c:v>2.75</c:v>
                </c:pt>
                <c:pt idx="1">
                  <c:v>3.25</c:v>
                </c:pt>
                <c:pt idx="2">
                  <c:v>3.75</c:v>
                </c:pt>
                <c:pt idx="3">
                  <c:v>4.25</c:v>
                </c:pt>
                <c:pt idx="4">
                  <c:v>4.75</c:v>
                </c:pt>
                <c:pt idx="5">
                  <c:v>5.25</c:v>
                </c:pt>
                <c:pt idx="6">
                  <c:v>5.75</c:v>
                </c:pt>
                <c:pt idx="7">
                  <c:v>6.25</c:v>
                </c:pt>
                <c:pt idx="8">
                  <c:v>6.75</c:v>
                </c:pt>
                <c:pt idx="9">
                  <c:v>7.25</c:v>
                </c:pt>
              </c:strCache>
            </c:strRef>
          </c:cat>
          <c:val>
            <c:numRef>
              <c:f>'2.13 直方图与多边形图'!$C$4:$C$13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23</c:v>
                </c:pt>
                <c:pt idx="4">
                  <c:v>25</c:v>
                </c:pt>
                <c:pt idx="5">
                  <c:v>17</c:v>
                </c:pt>
                <c:pt idx="6">
                  <c:v>9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gapWidth val="0"/>
        <c:overlap val="0"/>
        <c:axId val="56347814"/>
        <c:axId val="97948417"/>
      </c:barChart>
      <c:lineChart>
        <c:grouping val="standard"/>
        <c:varyColors val="0"/>
        <c:ser>
          <c:idx val="1"/>
          <c:order val="1"/>
          <c:tx>
            <c:strRef>
              <c:f>"频数多边形"</c:f>
              <c:strCache>
                <c:ptCount val="1"/>
                <c:pt idx="0">
                  <c:v>频数多边形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'2.13 直方图与多边形图'!$B$4:$B$13</c:f>
              <c:strCache>
                <c:ptCount val="10"/>
                <c:pt idx="0">
                  <c:v>2.75</c:v>
                </c:pt>
                <c:pt idx="1">
                  <c:v>3.25</c:v>
                </c:pt>
                <c:pt idx="2">
                  <c:v>3.75</c:v>
                </c:pt>
                <c:pt idx="3">
                  <c:v>4.25</c:v>
                </c:pt>
                <c:pt idx="4">
                  <c:v>4.75</c:v>
                </c:pt>
                <c:pt idx="5">
                  <c:v>5.25</c:v>
                </c:pt>
                <c:pt idx="6">
                  <c:v>5.75</c:v>
                </c:pt>
                <c:pt idx="7">
                  <c:v>6.25</c:v>
                </c:pt>
                <c:pt idx="8">
                  <c:v>6.75</c:v>
                </c:pt>
                <c:pt idx="9">
                  <c:v>7.25</c:v>
                </c:pt>
              </c:strCache>
            </c:strRef>
          </c:cat>
          <c:val>
            <c:numRef>
              <c:f>'2.13 直方图与多边形图'!$C$4:$C$13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23</c:v>
                </c:pt>
                <c:pt idx="4">
                  <c:v>25</c:v>
                </c:pt>
                <c:pt idx="5">
                  <c:v>17</c:v>
                </c:pt>
                <c:pt idx="6">
                  <c:v>9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347814"/>
        <c:axId val="97948417"/>
      </c:lineChart>
      <c:catAx>
        <c:axId val="56347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组中值（mol/L）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48417"/>
        <c:crosses val="autoZero"/>
        <c:auto val="1"/>
        <c:lblAlgn val="ctr"/>
        <c:lblOffset val="100"/>
        <c:noMultiLvlLbl val="0"/>
      </c:catAx>
      <c:valAx>
        <c:axId val="97948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频数（人数）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47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血清总胆固醇含量箱线图（五数概括）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'2.16 五数概括与箱线图'!C15</c:f>
              <c:strCache>
                <c:ptCount val="1"/>
                <c:pt idx="0">
                  <c:v>Q1为基底(不可见)</c:v>
                </c:pt>
              </c:strCache>
            </c:strRef>
          </c:tx>
          <c:spPr>
            <a:noFill/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'2.16 五数概括与箱线图'!$B$16</c:f>
              <c:strCache>
                <c:ptCount val="1"/>
                <c:pt idx="0">
                  <c:v>总胆固醇</c:v>
                </c:pt>
              </c:strCache>
            </c:strRef>
          </c:cat>
          <c:val>
            <c:numRef>
              <c:f>'2.16 五数概括与箱线图'!$C$16</c:f>
              <c:numCache>
                <c:formatCode>0.0000</c:formatCode>
                <c:ptCount val="1"/>
                <c:pt idx="0">
                  <c:v>4.215</c:v>
                </c:pt>
              </c:numCache>
            </c:numRef>
          </c:val>
        </c:ser>
        <c:ser>
          <c:idx val="1"/>
          <c:order val="1"/>
          <c:tx>
            <c:strRef>
              <c:f>'2.16 五数概括与箱线图'!D15</c:f>
              <c:strCache>
                <c:ptCount val="1"/>
                <c:pt idx="0">
                  <c:v>Q1至中位数(箱体下半)</c:v>
                </c:pt>
              </c:strCache>
            </c:strRef>
          </c:tx>
          <c:spPr>
            <a:solidFill>
              <a:srgbClr val="9dc3e6"/>
            </a:solidFill>
            <a:ln w="9360">
              <a:solidFill>
                <a:srgbClr val="1f4e7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minus"/>
            <c:errValType val="cust"/>
            <c:noEndCap val="0"/>
            <c:minus>
              <c:numRef>
                <c:f>'2.16 五数概括与箱线图'!$D$18</c:f>
                <c:numCache>
                  <c:formatCode>0.0000</c:formatCode>
                  <c:ptCount val="1"/>
                  <c:pt idx="0">
                    <c:v>1.515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'2.16 五数概括与箱线图'!$B$16</c:f>
              <c:strCache>
                <c:ptCount val="1"/>
                <c:pt idx="0">
                  <c:v>总胆固醇</c:v>
                </c:pt>
              </c:strCache>
            </c:strRef>
          </c:cat>
          <c:val>
            <c:numRef>
              <c:f>'2.16 五数概括与箱线图'!$D$16</c:f>
              <c:numCache>
                <c:formatCode>0.0000</c:formatCode>
                <c:ptCount val="1"/>
                <c:pt idx="0">
                  <c:v>0.445</c:v>
                </c:pt>
              </c:numCache>
            </c:numRef>
          </c:val>
        </c:ser>
        <c:ser>
          <c:idx val="2"/>
          <c:order val="2"/>
          <c:tx>
            <c:strRef>
              <c:f>'2.16 五数概括与箱线图'!E15</c:f>
              <c:strCache>
                <c:ptCount val="1"/>
                <c:pt idx="0">
                  <c:v>中位数至Q3(箱体上半)</c:v>
                </c:pt>
              </c:strCache>
            </c:strRef>
          </c:tx>
          <c:spPr>
            <a:solidFill>
              <a:srgbClr val="9dc3e6"/>
            </a:solidFill>
            <a:ln w="9360">
              <a:solidFill>
                <a:srgbClr val="1f4e7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plus"/>
            <c:errValType val="cust"/>
            <c:noEndCap val="0"/>
            <c:plus>
              <c:numRef>
                <c:f>'2.16 五数概括与箱线图'!$D$19</c:f>
                <c:numCache>
                  <c:formatCode>0.0000</c:formatCode>
                  <c:ptCount val="1"/>
                  <c:pt idx="0">
                    <c:v>2.01</c:v>
                  </c:pt>
                </c:numCache>
              </c:numRef>
            </c:pl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'2.16 五数概括与箱线图'!$B$16</c:f>
              <c:strCache>
                <c:ptCount val="1"/>
                <c:pt idx="0">
                  <c:v>总胆固醇</c:v>
                </c:pt>
              </c:strCache>
            </c:strRef>
          </c:cat>
          <c:val>
            <c:numRef>
              <c:f>'2.16 五数概括与箱线图'!$E$16</c:f>
              <c:numCache>
                <c:formatCode>0.0000</c:formatCode>
                <c:ptCount val="1"/>
                <c:pt idx="0">
                  <c:v>0.55</c:v>
                </c:pt>
              </c:numCache>
            </c:numRef>
          </c:val>
        </c:ser>
        <c:gapWidth val="60"/>
        <c:overlap val="100"/>
        <c:axId val="32484918"/>
        <c:axId val="12369879"/>
      </c:barChart>
      <c:catAx>
        <c:axId val="32484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69879"/>
        <c:crosses val="autoZero"/>
        <c:auto val="1"/>
        <c:lblAlgn val="ctr"/>
        <c:lblOffset val="100"/>
        <c:noMultiLvlLbl val="0"/>
      </c:catAx>
      <c:valAx>
        <c:axId val="12369879"/>
        <c:scaling>
          <c:orientation val="minMax"/>
          <c:max val="8"/>
          <c:min val="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总胆固醇 (mol/L)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84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134640</xdr:rowOff>
    </xdr:from>
    <xdr:to>
      <xdr:col>13</xdr:col>
      <xdr:colOff>370440</xdr:colOff>
      <xdr:row>22</xdr:row>
      <xdr:rowOff>93600</xdr:rowOff>
    </xdr:to>
    <xdr:graphicFrame>
      <xdr:nvGraphicFramePr>
        <xdr:cNvPr id="0" name="Chart 1"/>
        <xdr:cNvGraphicFramePr/>
      </xdr:nvGraphicFramePr>
      <xdr:xfrm>
        <a:off x="2625840" y="380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134640</xdr:rowOff>
    </xdr:from>
    <xdr:to>
      <xdr:col>12</xdr:col>
      <xdr:colOff>169920</xdr:colOff>
      <xdr:row>24</xdr:row>
      <xdr:rowOff>72720</xdr:rowOff>
    </xdr:to>
    <xdr:graphicFrame>
      <xdr:nvGraphicFramePr>
        <xdr:cNvPr id="1" name="Chart 1"/>
        <xdr:cNvGraphicFramePr/>
      </xdr:nvGraphicFramePr>
      <xdr:xfrm>
        <a:off x="6845400" y="380880"/>
        <a:ext cx="43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12" min="2" style="0" width="8"/>
  </cols>
  <sheetData>
    <row r="1" customFormat="false" ht="19.4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  <c r="J3" s="4" t="n">
        <v>9</v>
      </c>
      <c r="K3" s="4" t="n">
        <v>10</v>
      </c>
    </row>
    <row r="4" customFormat="false" ht="15" hidden="false" customHeight="false" outlineLevel="0" collapsed="false">
      <c r="A4" s="4" t="n">
        <v>1</v>
      </c>
      <c r="B4" s="5" t="n">
        <v>4.77</v>
      </c>
      <c r="C4" s="5" t="n">
        <v>3.37</v>
      </c>
      <c r="D4" s="5" t="n">
        <v>6.14</v>
      </c>
      <c r="E4" s="5" t="n">
        <v>3.95</v>
      </c>
      <c r="F4" s="5" t="n">
        <v>3.56</v>
      </c>
      <c r="G4" s="5" t="n">
        <v>4.23</v>
      </c>
      <c r="H4" s="5" t="n">
        <v>4.31</v>
      </c>
      <c r="I4" s="5" t="n">
        <v>4.71</v>
      </c>
      <c r="J4" s="5" t="n">
        <v>5.69</v>
      </c>
      <c r="K4" s="5" t="n">
        <v>4.12</v>
      </c>
    </row>
    <row r="5" customFormat="false" ht="15" hidden="false" customHeight="false" outlineLevel="0" collapsed="false">
      <c r="A5" s="4" t="n">
        <v>2</v>
      </c>
      <c r="B5" s="5" t="n">
        <v>4.56</v>
      </c>
      <c r="C5" s="5" t="n">
        <v>4.37</v>
      </c>
      <c r="D5" s="5" t="n">
        <v>5.39</v>
      </c>
      <c r="E5" s="5" t="n">
        <v>6.3</v>
      </c>
      <c r="F5" s="5" t="n">
        <v>5.21</v>
      </c>
      <c r="G5" s="5" t="n">
        <v>7.22</v>
      </c>
      <c r="H5" s="5" t="n">
        <v>5.54</v>
      </c>
      <c r="I5" s="5" t="n">
        <v>3.93</v>
      </c>
      <c r="J5" s="5" t="n">
        <v>5.21</v>
      </c>
      <c r="K5" s="5" t="n">
        <v>6.51</v>
      </c>
    </row>
    <row r="6" customFormat="false" ht="15" hidden="false" customHeight="false" outlineLevel="0" collapsed="false">
      <c r="A6" s="4" t="n">
        <v>3</v>
      </c>
      <c r="B6" s="5" t="n">
        <v>5.18</v>
      </c>
      <c r="C6" s="5" t="n">
        <v>5.77</v>
      </c>
      <c r="D6" s="5" t="n">
        <v>4.79</v>
      </c>
      <c r="E6" s="5" t="n">
        <v>5.12</v>
      </c>
      <c r="F6" s="5" t="n">
        <v>5.2</v>
      </c>
      <c r="G6" s="5" t="n">
        <v>5.1</v>
      </c>
      <c r="H6" s="5" t="n">
        <v>4.7</v>
      </c>
      <c r="I6" s="5" t="n">
        <v>4.74</v>
      </c>
      <c r="J6" s="5" t="n">
        <v>3.5</v>
      </c>
      <c r="K6" s="5" t="n">
        <v>4.69</v>
      </c>
    </row>
    <row r="7" customFormat="false" ht="15" hidden="false" customHeight="false" outlineLevel="0" collapsed="false">
      <c r="A7" s="4" t="n">
        <v>4</v>
      </c>
      <c r="B7" s="5" t="n">
        <v>4.38</v>
      </c>
      <c r="C7" s="5" t="n">
        <v>4.89</v>
      </c>
      <c r="D7" s="5" t="n">
        <v>6.25</v>
      </c>
      <c r="E7" s="5" t="n">
        <v>5.32</v>
      </c>
      <c r="F7" s="5" t="n">
        <v>4.5</v>
      </c>
      <c r="G7" s="5" t="n">
        <v>4.63</v>
      </c>
      <c r="H7" s="5" t="n">
        <v>3.61</v>
      </c>
      <c r="I7" s="5" t="n">
        <v>4.44</v>
      </c>
      <c r="J7" s="5" t="n">
        <v>4.43</v>
      </c>
      <c r="K7" s="5" t="n">
        <v>4.25</v>
      </c>
    </row>
    <row r="8" customFormat="false" ht="15" hidden="false" customHeight="false" outlineLevel="0" collapsed="false">
      <c r="A8" s="4" t="n">
        <v>5</v>
      </c>
      <c r="B8" s="5" t="n">
        <v>4.03</v>
      </c>
      <c r="C8" s="5" t="n">
        <v>5.85</v>
      </c>
      <c r="D8" s="5" t="n">
        <v>4.09</v>
      </c>
      <c r="E8" s="5" t="n">
        <v>3.35</v>
      </c>
      <c r="F8" s="5" t="n">
        <v>4.08</v>
      </c>
      <c r="G8" s="5" t="n">
        <v>4.79</v>
      </c>
      <c r="H8" s="5" t="n">
        <v>5.3</v>
      </c>
      <c r="I8" s="5" t="n">
        <v>4.97</v>
      </c>
      <c r="J8" s="5" t="n">
        <v>3.18</v>
      </c>
      <c r="K8" s="5" t="n">
        <v>3.97</v>
      </c>
    </row>
    <row r="9" customFormat="false" ht="15" hidden="false" customHeight="false" outlineLevel="0" collapsed="false">
      <c r="A9" s="4" t="n">
        <v>6</v>
      </c>
      <c r="B9" s="5" t="n">
        <v>5.16</v>
      </c>
      <c r="C9" s="5" t="n">
        <v>5.1</v>
      </c>
      <c r="D9" s="5" t="n">
        <v>5.85</v>
      </c>
      <c r="E9" s="5" t="n">
        <v>4.79</v>
      </c>
      <c r="F9" s="5" t="n">
        <v>5.34</v>
      </c>
      <c r="G9" s="5" t="n">
        <v>4.24</v>
      </c>
      <c r="H9" s="5" t="n">
        <v>4.32</v>
      </c>
      <c r="I9" s="5" t="n">
        <v>4.77</v>
      </c>
      <c r="J9" s="5" t="n">
        <v>6.36</v>
      </c>
      <c r="K9" s="5" t="n">
        <v>6.38</v>
      </c>
    </row>
    <row r="10" customFormat="false" ht="15" hidden="false" customHeight="false" outlineLevel="0" collapsed="false">
      <c r="A10" s="4" t="n">
        <v>7</v>
      </c>
      <c r="B10" s="5" t="n">
        <v>4.88</v>
      </c>
      <c r="C10" s="5" t="n">
        <v>5.55</v>
      </c>
      <c r="D10" s="5" t="n">
        <v>3.04</v>
      </c>
      <c r="E10" s="5" t="n">
        <v>4.55</v>
      </c>
      <c r="F10" s="5" t="n">
        <v>3.35</v>
      </c>
      <c r="G10" s="5" t="n">
        <v>4.87</v>
      </c>
      <c r="H10" s="5" t="n">
        <v>4.17</v>
      </c>
      <c r="I10" s="5" t="n">
        <v>5.85</v>
      </c>
      <c r="J10" s="5" t="n">
        <v>5.16</v>
      </c>
      <c r="K10" s="5" t="n">
        <v>5.09</v>
      </c>
    </row>
    <row r="11" customFormat="false" ht="15" hidden="false" customHeight="false" outlineLevel="0" collapsed="false">
      <c r="A11" s="4" t="n">
        <v>8</v>
      </c>
      <c r="B11" s="5" t="n">
        <v>4.52</v>
      </c>
      <c r="C11" s="5" t="n">
        <v>4.38</v>
      </c>
      <c r="D11" s="5" t="n">
        <v>4.31</v>
      </c>
      <c r="E11" s="5" t="n">
        <v>4.58</v>
      </c>
      <c r="F11" s="5" t="n">
        <v>5.72</v>
      </c>
      <c r="G11" s="5" t="n">
        <v>6.55</v>
      </c>
      <c r="H11" s="5" t="n">
        <v>4.76</v>
      </c>
      <c r="I11" s="5" t="n">
        <v>4.61</v>
      </c>
      <c r="J11" s="5" t="n">
        <v>4.17</v>
      </c>
      <c r="K11" s="5" t="n">
        <v>4.03</v>
      </c>
    </row>
    <row r="12" customFormat="false" ht="15" hidden="false" customHeight="false" outlineLevel="0" collapsed="false">
      <c r="A12" s="4" t="n">
        <v>9</v>
      </c>
      <c r="B12" s="5" t="n">
        <v>4.47</v>
      </c>
      <c r="C12" s="5" t="n">
        <v>3.4</v>
      </c>
      <c r="D12" s="5" t="n">
        <v>3.91</v>
      </c>
      <c r="E12" s="5" t="n">
        <v>2.7</v>
      </c>
      <c r="F12" s="5" t="n">
        <v>4.6</v>
      </c>
      <c r="G12" s="5" t="n">
        <v>4.09</v>
      </c>
      <c r="H12" s="5" t="n">
        <v>5.96</v>
      </c>
      <c r="I12" s="5" t="n">
        <v>5.48</v>
      </c>
      <c r="J12" s="5" t="n">
        <v>4.4</v>
      </c>
      <c r="K12" s="5" t="n">
        <v>4.55</v>
      </c>
    </row>
    <row r="13" customFormat="false" ht="15" hidden="false" customHeight="false" outlineLevel="0" collapsed="false">
      <c r="A13" s="4" t="n">
        <v>10</v>
      </c>
      <c r="B13" s="5" t="n">
        <v>5.38</v>
      </c>
      <c r="C13" s="5" t="n">
        <v>3.89</v>
      </c>
      <c r="D13" s="5" t="n">
        <v>4.6</v>
      </c>
      <c r="E13" s="5" t="n">
        <v>4.47</v>
      </c>
      <c r="F13" s="5" t="n">
        <v>3.64</v>
      </c>
      <c r="G13" s="5" t="n">
        <v>4.34</v>
      </c>
      <c r="H13" s="5" t="n">
        <v>5.18</v>
      </c>
      <c r="I13" s="5" t="n">
        <v>6.14</v>
      </c>
      <c r="J13" s="5" t="n">
        <v>3.24</v>
      </c>
      <c r="K13" s="5" t="n">
        <v>4.9</v>
      </c>
    </row>
    <row r="15" customFormat="false" ht="15" hidden="false" customHeight="false" outlineLevel="0" collapsed="false">
      <c r="B15" s="6" t="s">
        <v>2</v>
      </c>
      <c r="D15" s="7" t="n">
        <f aca="false">COUNT(B4:K13)</f>
        <v>100</v>
      </c>
    </row>
    <row r="16" customFormat="false" ht="15" hidden="false" customHeight="false" outlineLevel="0" collapsed="false">
      <c r="B16" s="6" t="s">
        <v>3</v>
      </c>
      <c r="D16" s="7" t="n">
        <f aca="false">MIN(B4:K13)</f>
        <v>2.7</v>
      </c>
    </row>
    <row r="17" customFormat="false" ht="15" hidden="false" customHeight="false" outlineLevel="0" collapsed="false">
      <c r="B17" s="6" t="s">
        <v>4</v>
      </c>
      <c r="D17" s="7" t="n">
        <f aca="false">MAX(B4:K13)</f>
        <v>7.22</v>
      </c>
    </row>
    <row r="18" customFormat="false" ht="15" hidden="false" customHeight="false" outlineLevel="0" collapsed="false">
      <c r="B18" s="6" t="s">
        <v>5</v>
      </c>
      <c r="D18" s="7" t="n">
        <f aca="false">D17-D16</f>
        <v>4.52</v>
      </c>
    </row>
  </sheetData>
  <mergeCells count="2">
    <mergeCell ref="B1:K1"/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6" min="3" style="0" width="10"/>
    <col collapsed="false" customWidth="true" hidden="false" outlineLevel="0" max="7" min="7" style="0" width="12"/>
    <col collapsed="false" customWidth="true" hidden="false" outlineLevel="0" max="9" min="8" style="0" width="9"/>
  </cols>
  <sheetData>
    <row r="1" customFormat="false" ht="19.4" hidden="false" customHeight="false" outlineLevel="0" collapsed="false">
      <c r="B1" s="1" t="s">
        <v>6</v>
      </c>
      <c r="C1" s="1"/>
      <c r="D1" s="1"/>
      <c r="E1" s="1"/>
      <c r="F1" s="1"/>
    </row>
    <row r="3" customFormat="false" ht="15" hidden="false" customHeight="false" outlineLevel="0" collapsed="false">
      <c r="B3" s="8" t="s">
        <v>7</v>
      </c>
      <c r="D3" s="9" t="n">
        <f aca="false">原始数据!$D$17-原始数据!$D$16</f>
        <v>4.52</v>
      </c>
    </row>
    <row r="4" customFormat="false" ht="15" hidden="false" customHeight="false" outlineLevel="0" collapsed="false">
      <c r="B4" s="8" t="s">
        <v>8</v>
      </c>
      <c r="D4" s="10" t="n">
        <v>10</v>
      </c>
    </row>
    <row r="5" customFormat="false" ht="15" hidden="false" customHeight="false" outlineLevel="0" collapsed="false">
      <c r="B5" s="8" t="s">
        <v>9</v>
      </c>
      <c r="D5" s="10" t="n">
        <v>0.5</v>
      </c>
    </row>
    <row r="6" customFormat="false" ht="15" hidden="false" customHeight="false" outlineLevel="0" collapsed="false">
      <c r="B6" s="8" t="s">
        <v>10</v>
      </c>
      <c r="D6" s="10" t="n">
        <v>2.5</v>
      </c>
    </row>
    <row r="8" customFormat="false" ht="15" hidden="false" customHeight="false" outlineLevel="0" collapsed="false">
      <c r="B8" s="11" t="s">
        <v>11</v>
      </c>
      <c r="C8" s="11" t="s">
        <v>12</v>
      </c>
      <c r="D8" s="11" t="s">
        <v>13</v>
      </c>
      <c r="E8" s="11" t="s">
        <v>14</v>
      </c>
      <c r="F8" s="11" t="s">
        <v>15</v>
      </c>
      <c r="G8" s="11" t="s">
        <v>16</v>
      </c>
    </row>
    <row r="9" customFormat="false" ht="15" hidden="false" customHeight="false" outlineLevel="0" collapsed="false">
      <c r="B9" s="5" t="str">
        <f aca="false">TEXT($D$6+0*$D$5,"0.00")&amp;"~"&amp;TEXT($D$6+1*$D$5,"0.00")</f>
        <v>2.50~3.00</v>
      </c>
      <c r="C9" s="5" t="n">
        <f aca="false">($D$6+0*$D$5+$D$6+1*$D$5)/2</f>
        <v>2.75</v>
      </c>
      <c r="D9" s="12" t="n">
        <f aca="false">COUNTIFS(原始数据!$B$4:$K$13,"&gt;="&amp;($D$6+0*$D$5),原始数据!$B$4:$K$13,"&lt;"&amp;($D$6+1*$D$5))</f>
        <v>1</v>
      </c>
      <c r="E9" s="13" t="n">
        <f aca="false">D9/原始数据!$D$15*100</f>
        <v>1</v>
      </c>
      <c r="F9" s="12" t="n">
        <f aca="false">D9</f>
        <v>1</v>
      </c>
      <c r="G9" s="13" t="n">
        <f aca="false">F9/原始数据!$D$15*100</f>
        <v>1</v>
      </c>
      <c r="H9" s="9" t="n">
        <f aca="false">$D$6+0*$D$5</f>
        <v>2.5</v>
      </c>
      <c r="I9" s="9" t="n">
        <f aca="false">$D$6+1*$D$5</f>
        <v>3</v>
      </c>
    </row>
    <row r="10" customFormat="false" ht="15" hidden="false" customHeight="false" outlineLevel="0" collapsed="false">
      <c r="B10" s="5" t="str">
        <f aca="false">TEXT($D$6+1*$D$5,"0.00")&amp;"~"&amp;TEXT($D$6+2*$D$5,"0.00")</f>
        <v>3.00~3.50</v>
      </c>
      <c r="C10" s="5" t="n">
        <f aca="false">($D$6+1*$D$5+$D$6+2*$D$5)/2</f>
        <v>3.25</v>
      </c>
      <c r="D10" s="12" t="n">
        <f aca="false">COUNTIFS(原始数据!$B$4:$K$13,"&gt;="&amp;($D$6+1*$D$5),原始数据!$B$4:$K$13,"&lt;"&amp;($D$6+2*$D$5))</f>
        <v>7</v>
      </c>
      <c r="E10" s="13" t="n">
        <f aca="false">D10/原始数据!$D$15*100</f>
        <v>7</v>
      </c>
      <c r="F10" s="12" t="n">
        <f aca="false">F9+D10</f>
        <v>8</v>
      </c>
      <c r="G10" s="13" t="n">
        <f aca="false">F10/原始数据!$D$15*100</f>
        <v>8</v>
      </c>
      <c r="H10" s="9" t="n">
        <f aca="false">$D$6+1*$D$5</f>
        <v>3</v>
      </c>
      <c r="I10" s="9" t="n">
        <f aca="false">$D$6+2*$D$5</f>
        <v>3.5</v>
      </c>
    </row>
    <row r="11" customFormat="false" ht="15" hidden="false" customHeight="false" outlineLevel="0" collapsed="false">
      <c r="B11" s="5" t="str">
        <f aca="false">TEXT($D$6+2*$D$5,"0.00")&amp;"~"&amp;TEXT($D$6+3*$D$5,"0.00")</f>
        <v>3.50~4.00</v>
      </c>
      <c r="C11" s="5" t="n">
        <f aca="false">($D$6+2*$D$5+$D$6+3*$D$5)/2</f>
        <v>3.75</v>
      </c>
      <c r="D11" s="12" t="n">
        <f aca="false">COUNTIFS(原始数据!$B$4:$K$13,"&gt;="&amp;($D$6+2*$D$5),原始数据!$B$4:$K$13,"&lt;"&amp;($D$6+3*$D$5))</f>
        <v>9</v>
      </c>
      <c r="E11" s="13" t="n">
        <f aca="false">D11/原始数据!$D$15*100</f>
        <v>9</v>
      </c>
      <c r="F11" s="12" t="n">
        <f aca="false">F10+D11</f>
        <v>17</v>
      </c>
      <c r="G11" s="13" t="n">
        <f aca="false">F11/原始数据!$D$15*100</f>
        <v>17</v>
      </c>
      <c r="H11" s="9" t="n">
        <f aca="false">$D$6+2*$D$5</f>
        <v>3.5</v>
      </c>
      <c r="I11" s="9" t="n">
        <f aca="false">$D$6+3*$D$5</f>
        <v>4</v>
      </c>
    </row>
    <row r="12" customFormat="false" ht="15" hidden="false" customHeight="false" outlineLevel="0" collapsed="false">
      <c r="B12" s="5" t="str">
        <f aca="false">TEXT($D$6+3*$D$5,"0.00")&amp;"~"&amp;TEXT($D$6+4*$D$5,"0.00")</f>
        <v>4.00~4.50</v>
      </c>
      <c r="C12" s="5" t="n">
        <f aca="false">($D$6+3*$D$5+$D$6+4*$D$5)/2</f>
        <v>4.25</v>
      </c>
      <c r="D12" s="12" t="n">
        <f aca="false">COUNTIFS(原始数据!$B$4:$K$13,"&gt;="&amp;($D$6+3*$D$5),原始数据!$B$4:$K$13,"&lt;"&amp;($D$6+4*$D$5))</f>
        <v>23</v>
      </c>
      <c r="E12" s="13" t="n">
        <f aca="false">D12/原始数据!$D$15*100</f>
        <v>23</v>
      </c>
      <c r="F12" s="12" t="n">
        <f aca="false">F11+D12</f>
        <v>40</v>
      </c>
      <c r="G12" s="13" t="n">
        <f aca="false">F12/原始数据!$D$15*100</f>
        <v>40</v>
      </c>
      <c r="H12" s="9" t="n">
        <f aca="false">$D$6+3*$D$5</f>
        <v>4</v>
      </c>
      <c r="I12" s="9" t="n">
        <f aca="false">$D$6+4*$D$5</f>
        <v>4.5</v>
      </c>
    </row>
    <row r="13" customFormat="false" ht="15" hidden="false" customHeight="false" outlineLevel="0" collapsed="false">
      <c r="B13" s="5" t="str">
        <f aca="false">TEXT($D$6+4*$D$5,"0.00")&amp;"~"&amp;TEXT($D$6+5*$D$5,"0.00")</f>
        <v>4.50~5.00</v>
      </c>
      <c r="C13" s="5" t="n">
        <f aca="false">($D$6+4*$D$5+$D$6+5*$D$5)/2</f>
        <v>4.75</v>
      </c>
      <c r="D13" s="12" t="n">
        <f aca="false">COUNTIFS(原始数据!$B$4:$K$13,"&gt;="&amp;($D$6+4*$D$5),原始数据!$B$4:$K$13,"&lt;"&amp;($D$6+5*$D$5))</f>
        <v>25</v>
      </c>
      <c r="E13" s="13" t="n">
        <f aca="false">D13/原始数据!$D$15*100</f>
        <v>25</v>
      </c>
      <c r="F13" s="12" t="n">
        <f aca="false">F12+D13</f>
        <v>65</v>
      </c>
      <c r="G13" s="13" t="n">
        <f aca="false">F13/原始数据!$D$15*100</f>
        <v>65</v>
      </c>
      <c r="H13" s="9" t="n">
        <f aca="false">$D$6+4*$D$5</f>
        <v>4.5</v>
      </c>
      <c r="I13" s="9" t="n">
        <f aca="false">$D$6+5*$D$5</f>
        <v>5</v>
      </c>
    </row>
    <row r="14" customFormat="false" ht="15" hidden="false" customHeight="false" outlineLevel="0" collapsed="false">
      <c r="B14" s="5" t="str">
        <f aca="false">TEXT($D$6+5*$D$5,"0.00")&amp;"~"&amp;TEXT($D$6+6*$D$5,"0.00")</f>
        <v>5.00~5.50</v>
      </c>
      <c r="C14" s="5" t="n">
        <f aca="false">($D$6+5*$D$5+$D$6+6*$D$5)/2</f>
        <v>5.25</v>
      </c>
      <c r="D14" s="12" t="n">
        <f aca="false">COUNTIFS(原始数据!$B$4:$K$13,"&gt;="&amp;($D$6+5*$D$5),原始数据!$B$4:$K$13,"&lt;"&amp;($D$6+6*$D$5))</f>
        <v>17</v>
      </c>
      <c r="E14" s="13" t="n">
        <f aca="false">D14/原始数据!$D$15*100</f>
        <v>17</v>
      </c>
      <c r="F14" s="12" t="n">
        <f aca="false">F13+D14</f>
        <v>82</v>
      </c>
      <c r="G14" s="13" t="n">
        <f aca="false">F14/原始数据!$D$15*100</f>
        <v>82</v>
      </c>
      <c r="H14" s="9" t="n">
        <f aca="false">$D$6+5*$D$5</f>
        <v>5</v>
      </c>
      <c r="I14" s="9" t="n">
        <f aca="false">$D$6+6*$D$5</f>
        <v>5.5</v>
      </c>
    </row>
    <row r="15" customFormat="false" ht="15" hidden="false" customHeight="false" outlineLevel="0" collapsed="false">
      <c r="B15" s="5" t="str">
        <f aca="false">TEXT($D$6+6*$D$5,"0.00")&amp;"~"&amp;TEXT($D$6+7*$D$5,"0.00")</f>
        <v>5.50~6.00</v>
      </c>
      <c r="C15" s="5" t="n">
        <f aca="false">($D$6+6*$D$5+$D$6+7*$D$5)/2</f>
        <v>5.75</v>
      </c>
      <c r="D15" s="12" t="n">
        <f aca="false">COUNTIFS(原始数据!$B$4:$K$13,"&gt;="&amp;($D$6+6*$D$5),原始数据!$B$4:$K$13,"&lt;"&amp;($D$6+7*$D$5))</f>
        <v>9</v>
      </c>
      <c r="E15" s="13" t="n">
        <f aca="false">D15/原始数据!$D$15*100</f>
        <v>9</v>
      </c>
      <c r="F15" s="12" t="n">
        <f aca="false">F14+D15</f>
        <v>91</v>
      </c>
      <c r="G15" s="13" t="n">
        <f aca="false">F15/原始数据!$D$15*100</f>
        <v>91</v>
      </c>
      <c r="H15" s="9" t="n">
        <f aca="false">$D$6+6*$D$5</f>
        <v>5.5</v>
      </c>
      <c r="I15" s="9" t="n">
        <f aca="false">$D$6+7*$D$5</f>
        <v>6</v>
      </c>
    </row>
    <row r="16" customFormat="false" ht="15" hidden="false" customHeight="false" outlineLevel="0" collapsed="false">
      <c r="B16" s="5" t="str">
        <f aca="false">TEXT($D$6+7*$D$5,"0.00")&amp;"~"&amp;TEXT($D$6+8*$D$5,"0.00")</f>
        <v>6.00~6.50</v>
      </c>
      <c r="C16" s="5" t="n">
        <f aca="false">($D$6+7*$D$5+$D$6+8*$D$5)/2</f>
        <v>6.25</v>
      </c>
      <c r="D16" s="12" t="n">
        <f aca="false">COUNTIFS(原始数据!$B$4:$K$13,"&gt;="&amp;($D$6+7*$D$5),原始数据!$B$4:$K$13,"&lt;"&amp;($D$6+8*$D$5))</f>
        <v>6</v>
      </c>
      <c r="E16" s="13" t="n">
        <f aca="false">D16/原始数据!$D$15*100</f>
        <v>6</v>
      </c>
      <c r="F16" s="12" t="n">
        <f aca="false">F15+D16</f>
        <v>97</v>
      </c>
      <c r="G16" s="13" t="n">
        <f aca="false">F16/原始数据!$D$15*100</f>
        <v>97</v>
      </c>
      <c r="H16" s="9" t="n">
        <f aca="false">$D$6+7*$D$5</f>
        <v>6</v>
      </c>
      <c r="I16" s="9" t="n">
        <f aca="false">$D$6+8*$D$5</f>
        <v>6.5</v>
      </c>
    </row>
    <row r="17" customFormat="false" ht="15" hidden="false" customHeight="false" outlineLevel="0" collapsed="false">
      <c r="B17" s="5" t="str">
        <f aca="false">TEXT($D$6+8*$D$5,"0.00")&amp;"~"&amp;TEXT($D$6+9*$D$5,"0.00")</f>
        <v>6.50~7.00</v>
      </c>
      <c r="C17" s="5" t="n">
        <f aca="false">($D$6+8*$D$5+$D$6+9*$D$5)/2</f>
        <v>6.75</v>
      </c>
      <c r="D17" s="12" t="n">
        <f aca="false">COUNTIFS(原始数据!$B$4:$K$13,"&gt;="&amp;($D$6+8*$D$5),原始数据!$B$4:$K$13,"&lt;"&amp;($D$6+9*$D$5))</f>
        <v>2</v>
      </c>
      <c r="E17" s="13" t="n">
        <f aca="false">D17/原始数据!$D$15*100</f>
        <v>2</v>
      </c>
      <c r="F17" s="12" t="n">
        <f aca="false">F16+D17</f>
        <v>99</v>
      </c>
      <c r="G17" s="13" t="n">
        <f aca="false">F17/原始数据!$D$15*100</f>
        <v>99</v>
      </c>
      <c r="H17" s="9" t="n">
        <f aca="false">$D$6+8*$D$5</f>
        <v>6.5</v>
      </c>
      <c r="I17" s="9" t="n">
        <f aca="false">$D$6+9*$D$5</f>
        <v>7</v>
      </c>
    </row>
    <row r="18" customFormat="false" ht="15" hidden="false" customHeight="false" outlineLevel="0" collapsed="false">
      <c r="B18" s="5" t="str">
        <f aca="false">TEXT($D$6+9*$D$5,"0.00")&amp;"~"&amp;TEXT($D$6+10*$D$5,"0.00")</f>
        <v>7.00~7.50</v>
      </c>
      <c r="C18" s="5" t="n">
        <f aca="false">($D$6+9*$D$5+$D$6+10*$D$5)/2</f>
        <v>7.25</v>
      </c>
      <c r="D18" s="12" t="n">
        <f aca="false">COUNTIFS(原始数据!$B$4:$K$13,"&gt;="&amp;($D$6+9*$D$5),原始数据!$B$4:$K$13,"&lt;"&amp;($D$6+10*$D$5))</f>
        <v>1</v>
      </c>
      <c r="E18" s="13" t="n">
        <f aca="false">D18/原始数据!$D$15*100</f>
        <v>1</v>
      </c>
      <c r="F18" s="12" t="n">
        <f aca="false">F17+D18</f>
        <v>100</v>
      </c>
      <c r="G18" s="13" t="n">
        <f aca="false">F18/原始数据!$D$15*100</f>
        <v>100</v>
      </c>
      <c r="H18" s="9" t="n">
        <f aca="false">$D$6+9*$D$5</f>
        <v>7</v>
      </c>
      <c r="I18" s="9" t="n">
        <f aca="false">$D$6+10*$D$5</f>
        <v>7.5</v>
      </c>
    </row>
    <row r="19" customFormat="false" ht="15" hidden="false" customHeight="false" outlineLevel="0" collapsed="false">
      <c r="B19" s="14" t="s">
        <v>17</v>
      </c>
      <c r="C19" s="3"/>
      <c r="D19" s="14" t="n">
        <f aca="false">SUM(D9:D18)</f>
        <v>100</v>
      </c>
      <c r="E19" s="15" t="n">
        <f aca="false">SUM(E9:E18)</f>
        <v>100</v>
      </c>
      <c r="F19" s="3"/>
      <c r="G19" s="3"/>
    </row>
    <row r="21" customFormat="false" ht="15" hidden="false" customHeight="false" outlineLevel="0" collapsed="false">
      <c r="B21" s="16" t="s">
        <v>18</v>
      </c>
      <c r="C21" s="16"/>
      <c r="D21" s="16"/>
      <c r="E21" s="16"/>
      <c r="F21" s="16"/>
      <c r="G21" s="16"/>
      <c r="H21" s="16"/>
      <c r="I21" s="16"/>
    </row>
  </sheetData>
  <mergeCells count="2">
    <mergeCell ref="B1:F1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8"/>
  </cols>
  <sheetData>
    <row r="1" customFormat="false" ht="19.4" hidden="false" customHeight="false" outlineLevel="0" collapsed="false">
      <c r="B1" s="1" t="s">
        <v>19</v>
      </c>
      <c r="C1" s="1"/>
      <c r="D1" s="1"/>
      <c r="E1" s="1"/>
      <c r="F1" s="1"/>
    </row>
    <row r="3" customFormat="false" ht="15" hidden="false" customHeight="false" outlineLevel="0" collapsed="false">
      <c r="B3" s="11" t="s">
        <v>12</v>
      </c>
      <c r="C3" s="11" t="s">
        <v>20</v>
      </c>
    </row>
    <row r="4" customFormat="false" ht="15" hidden="false" customHeight="false" outlineLevel="0" collapsed="false">
      <c r="B4" s="5" t="n">
        <f aca="false">'2.12 频数分布表'!C9</f>
        <v>2.75</v>
      </c>
      <c r="C4" s="12" t="n">
        <f aca="false">'2.12 频数分布表'!D9</f>
        <v>1</v>
      </c>
    </row>
    <row r="5" customFormat="false" ht="15" hidden="false" customHeight="false" outlineLevel="0" collapsed="false">
      <c r="B5" s="5" t="n">
        <f aca="false">'2.12 频数分布表'!C10</f>
        <v>3.25</v>
      </c>
      <c r="C5" s="12" t="n">
        <f aca="false">'2.12 频数分布表'!D10</f>
        <v>7</v>
      </c>
    </row>
    <row r="6" customFormat="false" ht="15" hidden="false" customHeight="false" outlineLevel="0" collapsed="false">
      <c r="B6" s="5" t="n">
        <f aca="false">'2.12 频数分布表'!C11</f>
        <v>3.75</v>
      </c>
      <c r="C6" s="12" t="n">
        <f aca="false">'2.12 频数分布表'!D11</f>
        <v>9</v>
      </c>
    </row>
    <row r="7" customFormat="false" ht="15" hidden="false" customHeight="false" outlineLevel="0" collapsed="false">
      <c r="B7" s="5" t="n">
        <f aca="false">'2.12 频数分布表'!C12</f>
        <v>4.25</v>
      </c>
      <c r="C7" s="12" t="n">
        <f aca="false">'2.12 频数分布表'!D12</f>
        <v>23</v>
      </c>
    </row>
    <row r="8" customFormat="false" ht="15" hidden="false" customHeight="false" outlineLevel="0" collapsed="false">
      <c r="B8" s="5" t="n">
        <f aca="false">'2.12 频数分布表'!C13</f>
        <v>4.75</v>
      </c>
      <c r="C8" s="12" t="n">
        <f aca="false">'2.12 频数分布表'!D13</f>
        <v>25</v>
      </c>
    </row>
    <row r="9" customFormat="false" ht="15" hidden="false" customHeight="false" outlineLevel="0" collapsed="false">
      <c r="B9" s="5" t="n">
        <f aca="false">'2.12 频数分布表'!C14</f>
        <v>5.25</v>
      </c>
      <c r="C9" s="12" t="n">
        <f aca="false">'2.12 频数分布表'!D14</f>
        <v>17</v>
      </c>
    </row>
    <row r="10" customFormat="false" ht="15" hidden="false" customHeight="false" outlineLevel="0" collapsed="false">
      <c r="B10" s="5" t="n">
        <f aca="false">'2.12 频数分布表'!C15</f>
        <v>5.75</v>
      </c>
      <c r="C10" s="12" t="n">
        <f aca="false">'2.12 频数分布表'!D15</f>
        <v>9</v>
      </c>
    </row>
    <row r="11" customFormat="false" ht="15" hidden="false" customHeight="false" outlineLevel="0" collapsed="false">
      <c r="B11" s="5" t="n">
        <f aca="false">'2.12 频数分布表'!C16</f>
        <v>6.25</v>
      </c>
      <c r="C11" s="12" t="n">
        <f aca="false">'2.12 频数分布表'!D16</f>
        <v>6</v>
      </c>
    </row>
    <row r="12" customFormat="false" ht="15" hidden="false" customHeight="false" outlineLevel="0" collapsed="false">
      <c r="B12" s="5" t="n">
        <f aca="false">'2.12 频数分布表'!C17</f>
        <v>6.75</v>
      </c>
      <c r="C12" s="12" t="n">
        <f aca="false">'2.12 频数分布表'!D17</f>
        <v>2</v>
      </c>
    </row>
    <row r="13" customFormat="false" ht="15" hidden="false" customHeight="false" outlineLevel="0" collapsed="false">
      <c r="B13" s="5" t="n">
        <f aca="false">'2.12 频数分布表'!C18</f>
        <v>7.25</v>
      </c>
      <c r="C13" s="12" t="n">
        <f aca="false">'2.12 频数分布表'!D18</f>
        <v>1</v>
      </c>
    </row>
    <row r="35" customFormat="false" ht="15" hidden="false" customHeight="true" outlineLevel="0" collapsed="false">
      <c r="B35" s="17" t="s">
        <v>21</v>
      </c>
      <c r="C35" s="17"/>
      <c r="D35" s="17"/>
      <c r="E35" s="17"/>
      <c r="F35" s="17"/>
      <c r="G35" s="17"/>
      <c r="H35" s="17"/>
      <c r="I35" s="17"/>
    </row>
    <row r="36" customFormat="false" ht="15" hidden="false" customHeight="false" outlineLevel="0" collapsed="false">
      <c r="B36" s="17"/>
      <c r="C36" s="17"/>
      <c r="D36" s="17"/>
      <c r="E36" s="17"/>
      <c r="F36" s="17"/>
      <c r="G36" s="17"/>
      <c r="H36" s="17"/>
      <c r="I36" s="17"/>
    </row>
    <row r="37" customFormat="false" ht="15" hidden="false" customHeight="false" outlineLevel="0" collapsed="false">
      <c r="B37" s="17"/>
      <c r="C37" s="17"/>
      <c r="D37" s="17"/>
      <c r="E37" s="17"/>
      <c r="F37" s="17"/>
      <c r="G37" s="17"/>
      <c r="H37" s="17"/>
      <c r="I37" s="17"/>
    </row>
    <row r="38" customFormat="false" ht="15" hidden="false" customHeight="false" outlineLevel="0" collapsed="false">
      <c r="B38" s="17"/>
      <c r="C38" s="17"/>
      <c r="D38" s="17"/>
      <c r="E38" s="17"/>
      <c r="F38" s="17"/>
      <c r="G38" s="17"/>
      <c r="H38" s="17"/>
      <c r="I38" s="17"/>
    </row>
  </sheetData>
  <mergeCells count="2">
    <mergeCell ref="B1:F1"/>
    <mergeCell ref="B35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4"/>
  </cols>
  <sheetData>
    <row r="1" customFormat="false" ht="19.4" hidden="false" customHeight="false" outlineLevel="0" collapsed="false">
      <c r="B1" s="1" t="s">
        <v>22</v>
      </c>
      <c r="C1" s="1"/>
      <c r="D1" s="1"/>
      <c r="E1" s="1"/>
    </row>
    <row r="3" customFormat="false" ht="15" hidden="false" customHeight="true" outlineLevel="0" collapsed="false">
      <c r="B3" s="18" t="s">
        <v>23</v>
      </c>
      <c r="C3" s="18"/>
      <c r="D3" s="19" t="n">
        <f aca="false">原始数据!$D$15</f>
        <v>100</v>
      </c>
    </row>
    <row r="4" customFormat="false" ht="15" hidden="false" customHeight="true" outlineLevel="0" collapsed="false">
      <c r="B4" s="18" t="s">
        <v>24</v>
      </c>
      <c r="C4" s="18"/>
      <c r="D4" s="20" t="n">
        <f aca="false">AVERAGE(原始数据!$B$4:$K$13)</f>
        <v>4.7398</v>
      </c>
    </row>
    <row r="5" customFormat="false" ht="15" hidden="false" customHeight="true" outlineLevel="0" collapsed="false">
      <c r="B5" s="18" t="s">
        <v>25</v>
      </c>
      <c r="C5" s="18"/>
      <c r="D5" s="20" t="n">
        <f aca="false">STDEV(原始数据!$B$4:$K$13)</f>
        <v>0.866164166677636</v>
      </c>
    </row>
    <row r="6" customFormat="false" ht="15" hidden="false" customHeight="true" outlineLevel="0" collapsed="false">
      <c r="B6" s="18" t="s">
        <v>26</v>
      </c>
      <c r="C6" s="18"/>
      <c r="D6" s="20" t="n">
        <f aca="false">VAR(原始数据!$B$4:$K$13)</f>
        <v>0.750240363636363</v>
      </c>
    </row>
    <row r="7" customFormat="false" ht="15" hidden="false" customHeight="true" outlineLevel="0" collapsed="false">
      <c r="B7" s="18" t="s">
        <v>27</v>
      </c>
      <c r="C7" s="18"/>
      <c r="D7" s="21" t="n">
        <f aca="false">D5/D4</f>
        <v>0.182742766926376</v>
      </c>
    </row>
    <row r="10" customFormat="false" ht="15" hidden="false" customHeight="true" outlineLevel="0" collapsed="false">
      <c r="B10" s="17" t="s">
        <v>28</v>
      </c>
      <c r="C10" s="17"/>
      <c r="D10" s="17"/>
      <c r="E10" s="17"/>
      <c r="F10" s="17"/>
    </row>
    <row r="11" customFormat="false" ht="15" hidden="false" customHeight="false" outlineLevel="0" collapsed="false">
      <c r="B11" s="17"/>
      <c r="C11" s="17"/>
      <c r="D11" s="17"/>
      <c r="E11" s="17"/>
      <c r="F11" s="17"/>
    </row>
    <row r="12" customFormat="false" ht="15" hidden="false" customHeight="false" outlineLevel="0" collapsed="false">
      <c r="B12" s="17"/>
      <c r="C12" s="17"/>
      <c r="D12" s="17"/>
      <c r="E12" s="17"/>
      <c r="F12" s="17"/>
    </row>
  </sheetData>
  <mergeCells count="7">
    <mergeCell ref="B1:E1"/>
    <mergeCell ref="B3:C3"/>
    <mergeCell ref="B4:C4"/>
    <mergeCell ref="B5:C5"/>
    <mergeCell ref="B6:C6"/>
    <mergeCell ref="B7:C7"/>
    <mergeCell ref="B10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7" min="5" style="0" width="4"/>
  </cols>
  <sheetData>
    <row r="1" customFormat="false" ht="19.4" hidden="false" customHeight="false" outlineLevel="0" collapsed="false">
      <c r="B1" s="1" t="s">
        <v>29</v>
      </c>
      <c r="C1" s="1"/>
      <c r="D1" s="1"/>
      <c r="E1" s="1"/>
      <c r="F1" s="1"/>
    </row>
    <row r="3" customFormat="false" ht="15" hidden="false" customHeight="false" outlineLevel="0" collapsed="false">
      <c r="B3" s="22" t="s">
        <v>30</v>
      </c>
      <c r="C3" s="22"/>
      <c r="D3" s="22"/>
      <c r="E3" s="22"/>
      <c r="F3" s="22"/>
    </row>
    <row r="4" customFormat="false" ht="15" hidden="false" customHeight="true" outlineLevel="0" collapsed="false">
      <c r="B4" s="18" t="s">
        <v>31</v>
      </c>
      <c r="C4" s="18"/>
      <c r="D4" s="23" t="str">
        <f aca="false">INDEX('2.12 频数分布表'!$B$9:$B$18,MATCH(MAX('2.12 频数分布表'!$D$9:$D$18),'2.12 频数分布表'!$D$9:$D$18,0))</f>
        <v>4.50~5.00</v>
      </c>
    </row>
    <row r="5" customFormat="false" ht="15" hidden="false" customHeight="true" outlineLevel="0" collapsed="false">
      <c r="B5" s="18" t="s">
        <v>32</v>
      </c>
      <c r="C5" s="18"/>
      <c r="D5" s="20" t="n">
        <f aca="false">INDEX('2.12 频数分布表'!$H$9:$H$18,MATCH(MAX('2.12 频数分布表'!$D$9:$D$18),'2.12 频数分布表'!$D$9:$D$18,0))</f>
        <v>4.5</v>
      </c>
    </row>
    <row r="6" customFormat="false" ht="15" hidden="false" customHeight="true" outlineLevel="0" collapsed="false">
      <c r="B6" s="18" t="s">
        <v>33</v>
      </c>
      <c r="C6" s="18"/>
      <c r="D6" s="20" t="n">
        <f aca="false">'2.12 频数分布表'!$D$5</f>
        <v>0.5</v>
      </c>
    </row>
    <row r="7" customFormat="false" ht="15" hidden="false" customHeight="true" outlineLevel="0" collapsed="false">
      <c r="B7" s="24" t="s">
        <v>34</v>
      </c>
      <c r="C7" s="24"/>
      <c r="D7" s="20" t="n">
        <f aca="false">INDEX('2.12 频数分布表'!$D$9:$D$18,MATCH(MAX('2.12 频数分布表'!$D$9:$D$18),'2.12 频数分布表'!$D$9:$D$18,0))-INDEX('2.12 频数分布表'!$D$9:$D$18,MATCH(MAX('2.12 频数分布表'!$D$9:$D$18),'2.12 频数分布表'!$D$9:$D$18,0)-1)</f>
        <v>2</v>
      </c>
    </row>
    <row r="8" customFormat="false" ht="15" hidden="false" customHeight="true" outlineLevel="0" collapsed="false">
      <c r="B8" s="24" t="s">
        <v>35</v>
      </c>
      <c r="C8" s="24"/>
      <c r="D8" s="20" t="n">
        <f aca="false">INDEX('2.12 频数分布表'!$D$9:$D$18,MATCH(MAX('2.12 频数分布表'!$D$9:$D$18),'2.12 频数分布表'!$D$9:$D$18,0))-INDEX('2.12 频数分布表'!$D$9:$D$18,MATCH(MAX('2.12 频数分布表'!$D$9:$D$18),'2.12 频数分布表'!$D$9:$D$18,0)+1)</f>
        <v>8</v>
      </c>
    </row>
    <row r="9" customFormat="false" ht="15" hidden="false" customHeight="true" outlineLevel="0" collapsed="false">
      <c r="B9" s="18" t="s">
        <v>36</v>
      </c>
      <c r="C9" s="18"/>
      <c r="D9" s="20" t="n">
        <f aca="false">D5+D6*(D7/(D7+D8))</f>
        <v>4.6</v>
      </c>
    </row>
    <row r="11" customFormat="false" ht="15" hidden="false" customHeight="false" outlineLevel="0" collapsed="false">
      <c r="B11" s="22" t="s">
        <v>37</v>
      </c>
      <c r="C11" s="22"/>
      <c r="D11" s="22"/>
      <c r="E11" s="22"/>
      <c r="F11" s="22"/>
    </row>
    <row r="12" customFormat="false" ht="15" hidden="false" customHeight="true" outlineLevel="0" collapsed="false">
      <c r="B12" s="18" t="s">
        <v>38</v>
      </c>
      <c r="C12" s="18"/>
      <c r="D12" s="20" t="n">
        <f aca="false">MEDIAN(原始数据!$B$4:$K$13)</f>
        <v>4.66</v>
      </c>
      <c r="E12" s="20"/>
      <c r="F12" s="20"/>
    </row>
    <row r="13" customFormat="false" ht="15" hidden="false" customHeight="true" outlineLevel="0" collapsed="false">
      <c r="B13" s="18" t="s">
        <v>39</v>
      </c>
      <c r="C13" s="18"/>
      <c r="D13" s="20" t="n">
        <f aca="false">原始数据!$D$15/2</f>
        <v>50</v>
      </c>
      <c r="E13" s="20"/>
      <c r="F13" s="20"/>
    </row>
    <row r="14" customFormat="false" ht="15" hidden="false" customHeight="true" outlineLevel="0" collapsed="false">
      <c r="B14" s="18" t="s">
        <v>40</v>
      </c>
      <c r="C14" s="18"/>
      <c r="D14" s="19" t="n">
        <f aca="false">IF(INDEX('2.12 频数分布表'!$F$9:$F$18,MATCH(D13,'2.12 频数分布表'!$F$9:$F$18,1))=D13,MATCH(D13,'2.12 频数分布表'!$F$9:$F$18,1),MATCH(D13,'2.12 频数分布表'!$F$9:$F$18,1)+1)</f>
        <v>5</v>
      </c>
      <c r="E14" s="20"/>
      <c r="F14" s="20"/>
    </row>
    <row r="15" customFormat="false" ht="15" hidden="false" customHeight="true" outlineLevel="0" collapsed="false">
      <c r="B15" s="18" t="s">
        <v>41</v>
      </c>
      <c r="C15" s="18"/>
      <c r="D15" s="20" t="n">
        <f aca="false">INDEX('2.12 频数分布表'!$H$9:$H$18,D14)</f>
        <v>4.5</v>
      </c>
      <c r="E15" s="19" t="n">
        <f aca="false">IF(D14=1,0,INDEX('2.12 频数分布表'!$F$9:$F$18,D14-1))</f>
        <v>40</v>
      </c>
      <c r="F15" s="19" t="n">
        <f aca="false">INDEX('2.12 频数分布表'!$D$9:$D$18,D14)</f>
        <v>25</v>
      </c>
    </row>
    <row r="16" customFormat="false" ht="15" hidden="false" customHeight="true" outlineLevel="0" collapsed="false">
      <c r="B16" s="18" t="s">
        <v>42</v>
      </c>
      <c r="C16" s="18"/>
      <c r="D16" s="20" t="n">
        <f aca="false">D15+(D6/F15)*(D13-E15)</f>
        <v>4.7</v>
      </c>
      <c r="E16" s="20"/>
      <c r="F16" s="20"/>
    </row>
    <row r="18" customFormat="false" ht="15" hidden="false" customHeight="false" outlineLevel="0" collapsed="false">
      <c r="B18" s="22" t="s">
        <v>43</v>
      </c>
      <c r="C18" s="22"/>
      <c r="D18" s="22"/>
      <c r="E18" s="22"/>
      <c r="F18" s="22"/>
    </row>
    <row r="19" customFormat="false" ht="15" hidden="false" customHeight="true" outlineLevel="0" collapsed="false">
      <c r="B19" s="18" t="s">
        <v>44</v>
      </c>
      <c r="C19" s="18"/>
      <c r="D19" s="20" t="n">
        <f aca="false">'2.14 均数标准差变异系数'!$D$4</f>
        <v>4.7398</v>
      </c>
    </row>
    <row r="20" customFormat="false" ht="15" hidden="false" customHeight="true" outlineLevel="0" collapsed="false">
      <c r="B20" s="18" t="s">
        <v>45</v>
      </c>
      <c r="C20" s="18"/>
      <c r="D20" s="20" t="n">
        <f aca="false">D12</f>
        <v>4.66</v>
      </c>
    </row>
    <row r="21" customFormat="false" ht="15" hidden="false" customHeight="true" outlineLevel="0" collapsed="false">
      <c r="B21" s="18" t="s">
        <v>46</v>
      </c>
      <c r="C21" s="18"/>
      <c r="D21" s="20" t="n">
        <f aca="false">D9</f>
        <v>4.6</v>
      </c>
    </row>
    <row r="23" customFormat="false" ht="15" hidden="false" customHeight="true" outlineLevel="0" collapsed="false">
      <c r="B23" s="17" t="s">
        <v>47</v>
      </c>
      <c r="C23" s="17"/>
      <c r="D23" s="17"/>
      <c r="E23" s="17"/>
      <c r="F23" s="17"/>
      <c r="G23" s="17"/>
    </row>
    <row r="24" customFormat="false" ht="15" hidden="false" customHeight="false" outlineLevel="0" collapsed="false">
      <c r="B24" s="17"/>
      <c r="C24" s="17"/>
      <c r="D24" s="17"/>
      <c r="E24" s="17"/>
      <c r="F24" s="17"/>
      <c r="G24" s="17"/>
    </row>
    <row r="25" customFormat="false" ht="15" hidden="false" customHeight="false" outlineLevel="0" collapsed="false">
      <c r="B25" s="17"/>
      <c r="C25" s="17"/>
      <c r="D25" s="17"/>
      <c r="E25" s="17"/>
      <c r="F25" s="17"/>
      <c r="G25" s="17"/>
    </row>
  </sheetData>
  <mergeCells count="19">
    <mergeCell ref="B1:F1"/>
    <mergeCell ref="B3:F3"/>
    <mergeCell ref="B4:C4"/>
    <mergeCell ref="B5:C5"/>
    <mergeCell ref="B6:C6"/>
    <mergeCell ref="B7:C7"/>
    <mergeCell ref="B8:C8"/>
    <mergeCell ref="B9:C9"/>
    <mergeCell ref="B11:F11"/>
    <mergeCell ref="B12:C12"/>
    <mergeCell ref="B13:C13"/>
    <mergeCell ref="B14:C14"/>
    <mergeCell ref="B15:C15"/>
    <mergeCell ref="B16:C16"/>
    <mergeCell ref="B18:F18"/>
    <mergeCell ref="B19:C19"/>
    <mergeCell ref="B20:C20"/>
    <mergeCell ref="B21:C21"/>
    <mergeCell ref="B23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7" min="6" style="0" width="4"/>
  </cols>
  <sheetData>
    <row r="1" customFormat="false" ht="19.4" hidden="false" customHeight="false" outlineLevel="0" collapsed="false">
      <c r="B1" s="1" t="s">
        <v>48</v>
      </c>
      <c r="C1" s="1"/>
      <c r="D1" s="1"/>
      <c r="E1" s="1"/>
      <c r="F1" s="1"/>
    </row>
    <row r="3" customFormat="false" ht="15" hidden="false" customHeight="false" outlineLevel="0" collapsed="false">
      <c r="B3" s="11" t="s">
        <v>49</v>
      </c>
      <c r="C3" s="11"/>
      <c r="D3" s="11" t="s">
        <v>50</v>
      </c>
    </row>
    <row r="4" customFormat="false" ht="15" hidden="false" customHeight="true" outlineLevel="0" collapsed="false">
      <c r="B4" s="18" t="s">
        <v>51</v>
      </c>
      <c r="C4" s="18"/>
      <c r="D4" s="20" t="n">
        <f aca="false">MIN(原始数据!$B$4:$K$13)</f>
        <v>2.7</v>
      </c>
    </row>
    <row r="5" customFormat="false" ht="15" hidden="false" customHeight="true" outlineLevel="0" collapsed="false">
      <c r="B5" s="18" t="s">
        <v>52</v>
      </c>
      <c r="C5" s="18"/>
      <c r="D5" s="20" t="n">
        <f aca="false">QUARTILE(原始数据!$B$4:$K$13,1)</f>
        <v>4.215</v>
      </c>
    </row>
    <row r="6" customFormat="false" ht="15" hidden="false" customHeight="true" outlineLevel="0" collapsed="false">
      <c r="B6" s="18" t="s">
        <v>53</v>
      </c>
      <c r="C6" s="18"/>
      <c r="D6" s="20" t="n">
        <f aca="false">MEDIAN(原始数据!$B$4:$K$13)</f>
        <v>4.66</v>
      </c>
    </row>
    <row r="7" customFormat="false" ht="15" hidden="false" customHeight="true" outlineLevel="0" collapsed="false">
      <c r="B7" s="18" t="s">
        <v>54</v>
      </c>
      <c r="C7" s="18"/>
      <c r="D7" s="20" t="n">
        <f aca="false">QUARTILE(原始数据!$B$4:$K$13,3)</f>
        <v>5.21</v>
      </c>
    </row>
    <row r="8" customFormat="false" ht="15" hidden="false" customHeight="true" outlineLevel="0" collapsed="false">
      <c r="B8" s="18" t="s">
        <v>55</v>
      </c>
      <c r="C8" s="18"/>
      <c r="D8" s="20" t="n">
        <f aca="false">MAX(原始数据!$B$4:$K$13)</f>
        <v>7.22</v>
      </c>
    </row>
    <row r="11" customFormat="false" ht="15" hidden="false" customHeight="true" outlineLevel="0" collapsed="false">
      <c r="B11" s="18" t="s">
        <v>56</v>
      </c>
      <c r="C11" s="18"/>
      <c r="D11" s="20" t="n">
        <f aca="false">D7-D5</f>
        <v>0.995</v>
      </c>
    </row>
    <row r="14" customFormat="false" ht="15" hidden="false" customHeight="false" outlineLevel="0" collapsed="false">
      <c r="B14" s="22" t="s">
        <v>57</v>
      </c>
      <c r="C14" s="22"/>
      <c r="D14" s="22"/>
      <c r="E14" s="22"/>
      <c r="F14" s="22"/>
    </row>
    <row r="15" customFormat="false" ht="15" hidden="false" customHeight="false" outlineLevel="0" collapsed="false">
      <c r="B15" s="11" t="s">
        <v>58</v>
      </c>
      <c r="C15" s="4" t="s">
        <v>59</v>
      </c>
      <c r="D15" s="4" t="s">
        <v>60</v>
      </c>
      <c r="E15" s="11" t="s">
        <v>61</v>
      </c>
    </row>
    <row r="16" customFormat="false" ht="15" hidden="false" customHeight="false" outlineLevel="0" collapsed="false">
      <c r="B16" s="25" t="s">
        <v>62</v>
      </c>
      <c r="C16" s="26" t="n">
        <f aca="false">D5</f>
        <v>4.215</v>
      </c>
      <c r="D16" s="26" t="n">
        <f aca="false">D6-D5</f>
        <v>0.445</v>
      </c>
      <c r="E16" s="26" t="n">
        <f aca="false">D7-D6</f>
        <v>0.55</v>
      </c>
    </row>
    <row r="18" customFormat="false" ht="15" hidden="false" customHeight="true" outlineLevel="0" collapsed="false">
      <c r="B18" s="18" t="s">
        <v>63</v>
      </c>
      <c r="C18" s="18"/>
      <c r="D18" s="20" t="n">
        <f aca="false">D5-D4</f>
        <v>1.515</v>
      </c>
    </row>
    <row r="19" customFormat="false" ht="15" hidden="false" customHeight="true" outlineLevel="0" collapsed="false">
      <c r="B19" s="18" t="s">
        <v>64</v>
      </c>
      <c r="C19" s="18"/>
      <c r="D19" s="20" t="n">
        <f aca="false">D8-D7</f>
        <v>2.01</v>
      </c>
    </row>
    <row r="21" customFormat="false" ht="15" hidden="false" customHeight="true" outlineLevel="0" collapsed="false">
      <c r="B21" s="17" t="s">
        <v>65</v>
      </c>
      <c r="C21" s="17"/>
      <c r="D21" s="17"/>
      <c r="E21" s="17"/>
      <c r="F21" s="17"/>
    </row>
    <row r="22" customFormat="false" ht="15" hidden="false" customHeight="false" outlineLevel="0" collapsed="false">
      <c r="B22" s="17"/>
      <c r="C22" s="17"/>
      <c r="D22" s="17"/>
      <c r="E22" s="17"/>
      <c r="F22" s="17"/>
    </row>
    <row r="23" customFormat="false" ht="15" hidden="false" customHeight="false" outlineLevel="0" collapsed="false">
      <c r="B23" s="17"/>
      <c r="C23" s="17"/>
      <c r="D23" s="17"/>
      <c r="E23" s="17"/>
      <c r="F23" s="17"/>
    </row>
    <row r="24" customFormat="false" ht="15" hidden="false" customHeight="false" outlineLevel="0" collapsed="false">
      <c r="B24" s="17"/>
      <c r="C24" s="17"/>
      <c r="D24" s="17"/>
      <c r="E24" s="17"/>
      <c r="F24" s="17"/>
    </row>
  </sheetData>
  <mergeCells count="12">
    <mergeCell ref="B1:F1"/>
    <mergeCell ref="B3:C3"/>
    <mergeCell ref="B4:C4"/>
    <mergeCell ref="B5:C5"/>
    <mergeCell ref="B6:C6"/>
    <mergeCell ref="B7:C7"/>
    <mergeCell ref="B8:C8"/>
    <mergeCell ref="B11:C11"/>
    <mergeCell ref="B14:F14"/>
    <mergeCell ref="B18:C18"/>
    <mergeCell ref="B19:C19"/>
    <mergeCell ref="B21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8" min="5" style="0" width="4"/>
  </cols>
  <sheetData>
    <row r="1" customFormat="false" ht="19.4" hidden="false" customHeight="false" outlineLevel="0" collapsed="false">
      <c r="B1" s="1" t="s">
        <v>66</v>
      </c>
      <c r="C1" s="1"/>
      <c r="D1" s="1"/>
      <c r="E1" s="1"/>
    </row>
    <row r="3" customFormat="false" ht="15" hidden="false" customHeight="true" outlineLevel="0" collapsed="false">
      <c r="B3" s="18" t="s">
        <v>23</v>
      </c>
      <c r="C3" s="18"/>
      <c r="D3" s="19" t="n">
        <f aca="false">原始数据!$D$15</f>
        <v>100</v>
      </c>
    </row>
    <row r="4" customFormat="false" ht="15" hidden="false" customHeight="true" outlineLevel="0" collapsed="false">
      <c r="B4" s="18" t="s">
        <v>44</v>
      </c>
      <c r="C4" s="18"/>
      <c r="D4" s="20" t="n">
        <f aca="false">'2.14 均数标准差变异系数'!$D$4</f>
        <v>4.7398</v>
      </c>
    </row>
    <row r="5" customFormat="false" ht="15" hidden="false" customHeight="true" outlineLevel="0" collapsed="false">
      <c r="B5" s="18" t="s">
        <v>67</v>
      </c>
      <c r="C5" s="18"/>
      <c r="D5" s="20" t="n">
        <f aca="false">'2.14 均数标准差变异系数'!$D$5</f>
        <v>0.866164166677636</v>
      </c>
    </row>
    <row r="6" customFormat="false" ht="15" hidden="false" customHeight="true" outlineLevel="0" collapsed="false">
      <c r="B6" s="18" t="s">
        <v>68</v>
      </c>
      <c r="C6" s="18"/>
      <c r="D6" s="20" t="n">
        <f aca="false">SKEW(原始数据!$B$4:$K$13)</f>
        <v>0.274407260380002</v>
      </c>
    </row>
    <row r="7" customFormat="false" ht="15" hidden="false" customHeight="true" outlineLevel="0" collapsed="false">
      <c r="B7" s="18" t="s">
        <v>69</v>
      </c>
      <c r="C7" s="18"/>
      <c r="D7" s="20" t="n">
        <f aca="false">KURT(原始数据!$B$4:$K$13)</f>
        <v>0.0605072824162081</v>
      </c>
    </row>
    <row r="10" customFormat="false" ht="15" hidden="false" customHeight="true" outlineLevel="0" collapsed="false">
      <c r="B10" s="17" t="s">
        <v>70</v>
      </c>
      <c r="C10" s="17"/>
      <c r="D10" s="17"/>
      <c r="E10" s="17"/>
      <c r="F10" s="17"/>
      <c r="G10" s="17"/>
      <c r="H10" s="17"/>
    </row>
    <row r="11" customFormat="false" ht="15" hidden="false" customHeight="false" outlineLevel="0" collapsed="false">
      <c r="B11" s="17"/>
      <c r="C11" s="17"/>
      <c r="D11" s="17"/>
      <c r="E11" s="17"/>
      <c r="F11" s="17"/>
      <c r="G11" s="17"/>
      <c r="H11" s="17"/>
    </row>
    <row r="12" customFormat="false" ht="15" hidden="false" customHeight="false" outlineLevel="0" collapsed="false">
      <c r="B12" s="17"/>
      <c r="C12" s="17"/>
      <c r="D12" s="17"/>
      <c r="E12" s="17"/>
      <c r="F12" s="17"/>
      <c r="G12" s="17"/>
      <c r="H12" s="17"/>
    </row>
    <row r="13" customFormat="false" ht="15" hidden="false" customHeight="false" outlineLevel="0" collapsed="false">
      <c r="B13" s="17"/>
      <c r="C13" s="17"/>
      <c r="D13" s="17"/>
      <c r="E13" s="17"/>
      <c r="F13" s="17"/>
      <c r="G13" s="17"/>
      <c r="H13" s="17"/>
    </row>
  </sheetData>
  <mergeCells count="7">
    <mergeCell ref="B1:E1"/>
    <mergeCell ref="B3:C3"/>
    <mergeCell ref="B4:C4"/>
    <mergeCell ref="B5:C5"/>
    <mergeCell ref="B6:C6"/>
    <mergeCell ref="B7:C7"/>
    <mergeCell ref="B10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2026-09-27T15:04:02Z</dcterms:created>
  <dc:creator>openpyxl</dc:creator>
  <dc:description/>
  <dc:language>en-US</dc:language>
  <cp:lastModifiedBy/>
  <dcterms:modified xsi:type="dcterms:W3CDTF">2026-09-27T15:15:56Z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